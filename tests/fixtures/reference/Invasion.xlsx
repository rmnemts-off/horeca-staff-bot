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Меню" sheetId="1" state="visible" r:id="rId1"/>
    <sheet name="ЗаказАлкогольSoft" sheetId="2" state="visible" r:id="rId2"/>
    <sheet name="ЗаказОЗОН" sheetId="3" state="visible" r:id="rId3"/>
    <sheet name="ЗаказРынок" sheetId="4" state="visible" r:id="rId4"/>
    <sheet name="ЗаказХозы" sheetId="5" state="visible" r:id="rId5"/>
    <sheet name="ГРАФИК" sheetId="6" state="visible" r:id="rId6"/>
    <sheet name="ТКЗаготовки" sheetId="7" state="visible" r:id="rId7"/>
    <sheet name="Авторка" sheetId="8" state="visible" r:id="rId8"/>
    <sheet name="Классика" sheetId="9" state="visible" r:id="rId9"/>
    <sheet name="Сезонка" sheetId="10" state="visible" r:id="rId10"/>
    <sheet name="ТКЛимонады" sheetId="11" state="visible" r:id="rId11"/>
    <sheet name="ТККофеЧай" sheetId="12" state="visible" r:id="rId12"/>
    <sheet name="ТКСмузиМилкшейки" sheetId="13" state="visible" r:id="rId13"/>
    <sheet name="Чек лист" sheetId="14" state="visible" r:id="rId14"/>
    <sheet name="Открытиезакрытие бара" sheetId="15" state="visible" r:id="rId15"/>
    <sheet name="КофеКолесо вкус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d.m"/>
    <numFmt numFmtId="166" formatCode="dd.mm.yyyy"/>
    <numFmt numFmtId="167" formatCode="d/m"/>
    <numFmt numFmtId="168" formatCode="[$р.-419]#,##0.00"/>
    <numFmt numFmtId="169" formatCode="d-m"/>
  </numFmts>
  <fonts count="63">
    <font>
      <name val="Calibri"/>
      <color rgb="FF000000"/>
      <sz val="11"/>
      <scheme val="minor"/>
    </font>
    <font>
      <name val="Arial"/>
      <color theme="1"/>
    </font>
    <font>
      <name val="Arial"/>
      <i val="1"/>
      <color theme="1"/>
      <sz val="8"/>
    </font>
    <font>
      <name val="Arial"/>
      <b val="1"/>
      <color theme="1"/>
    </font>
    <font>
      <name val="Arial"/>
      <b val="1"/>
      <color theme="1"/>
      <sz val="10"/>
    </font>
    <font/>
    <font>
      <name val="Arial"/>
      <b val="1"/>
      <color rgb="FF000000"/>
      <sz val="10"/>
    </font>
    <font>
      <name val="Arial"/>
      <color theme="1"/>
      <sz val="8"/>
    </font>
    <font>
      <name val="Calibri"/>
      <color theme="1"/>
      <scheme val="minor"/>
    </font>
    <font>
      <name val="Arial"/>
      <b val="1"/>
      <color theme="1"/>
      <sz val="7"/>
    </font>
    <font>
      <name val="Calibri"/>
      <color theme="1"/>
      <sz val="8"/>
      <scheme val="minor"/>
    </font>
    <font>
      <name val="Calibri"/>
      <b val="1"/>
      <color theme="1"/>
      <sz val="8"/>
      <scheme val="minor"/>
    </font>
    <font>
      <name val="Arial"/>
      <color rgb="FF000000"/>
    </font>
    <font>
      <name val="Calibri"/>
      <color theme="1"/>
      <sz val="8"/>
    </font>
    <font>
      <name val="Calibri"/>
      <color theme="1"/>
      <sz val="11"/>
    </font>
    <font>
      <name val="&quot;Helvetica Neue&quot;"/>
      <color theme="1"/>
      <sz val="8"/>
    </font>
    <font>
      <name val="Calibri"/>
      <b val="1"/>
      <color theme="1"/>
      <sz val="10"/>
      <scheme val="minor"/>
    </font>
    <font>
      <name val="Calibri"/>
      <b val="1"/>
      <color rgb="FF000000"/>
      <sz val="14"/>
    </font>
    <font>
      <name val="Calibri"/>
      <color rgb="FF000000"/>
      <sz val="14"/>
    </font>
    <font>
      <name val="Arial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9"/>
    </font>
    <font>
      <name val="Calibri"/>
      <b val="1"/>
      <color rgb="FF000000"/>
      <sz val="11"/>
      <scheme val="minor"/>
    </font>
    <font>
      <name val="Arial"/>
      <b val="1"/>
      <color theme="1"/>
      <sz val="11"/>
    </font>
    <font>
      <name val="Arial"/>
      <color theme="1"/>
      <sz val="11"/>
    </font>
    <font>
      <name val="&quot;Helvetica Neue&quot;"/>
      <color rgb="FF000000"/>
    </font>
    <font>
      <name val="Arial"/>
      <b val="1"/>
      <color theme="1"/>
      <sz val="16"/>
    </font>
    <font>
      <name val="Arial"/>
      <color rgb="FF000000"/>
      <sz val="9"/>
    </font>
    <font>
      <name val="Arial"/>
      <b val="1"/>
      <color theme="1"/>
      <sz val="9"/>
    </font>
    <font>
      <name val="Arial"/>
      <color theme="1"/>
      <sz val="9"/>
    </font>
    <font>
      <name val="Calibri"/>
      <b val="1"/>
      <color theme="1"/>
      <sz val="9"/>
    </font>
    <font>
      <name val="Calibri"/>
      <color theme="1"/>
      <sz val="9"/>
    </font>
    <font>
      <name val="&quot;Helvetica Neue&quot;"/>
      <b val="1"/>
      <color rgb="FF000000"/>
    </font>
    <font>
      <name val="Calibri"/>
      <b val="1"/>
      <color rgb="FF000000"/>
      <sz val="12"/>
    </font>
    <font>
      <name val="Calibri"/>
      <b val="1"/>
      <i val="1"/>
      <color rgb="FF000000"/>
      <sz val="14"/>
    </font>
    <font>
      <name val="Helvetica Neue"/>
      <color rgb="FF000000"/>
    </font>
    <font>
      <name val="Calibri"/>
      <b val="1"/>
      <color theme="1"/>
      <sz val="11"/>
    </font>
    <font>
      <name val="Calibri"/>
      <b val="1"/>
      <color theme="1"/>
      <scheme val="minor"/>
    </font>
    <font>
      <name val="Arial"/>
      <b val="1"/>
      <color theme="1"/>
      <sz val="8"/>
    </font>
    <font>
      <name val="Helvetica Neue"/>
      <color theme="1"/>
      <sz val="8"/>
    </font>
    <font>
      <name val="Arial"/>
      <b val="1"/>
      <color rgb="FF000000"/>
    </font>
    <font>
      <name val="Calibri"/>
      <b val="1"/>
      <color theme="1"/>
      <sz val="8"/>
    </font>
    <font>
      <name val="Calibri"/>
      <b val="1"/>
      <color rgb="FF000000"/>
      <sz val="8"/>
    </font>
    <font>
      <name val="Calibri"/>
      <color rgb="FF000000"/>
      <sz val="8"/>
    </font>
    <font>
      <name val="&quot;Helvetica Neue&quot;"/>
      <b val="1"/>
      <color theme="1"/>
      <sz val="8"/>
    </font>
    <font>
      <name val="Arial"/>
      <i val="1"/>
      <color theme="1"/>
      <sz val="9"/>
    </font>
    <font>
      <name val="Arial"/>
      <i val="1"/>
      <color theme="1"/>
      <sz val="10"/>
    </font>
    <font>
      <name val="Arial"/>
      <color rgb="FF000000"/>
      <sz val="14"/>
    </font>
    <font>
      <name val="Arial"/>
      <i val="1"/>
      <color rgb="FF000000"/>
      <sz val="10"/>
    </font>
    <font>
      <name val="Calibri"/>
      <color theme="1"/>
    </font>
    <font>
      <name val="Calibri"/>
      <color theme="1"/>
      <sz val="10"/>
      <scheme val="minor"/>
    </font>
    <font>
      <name val="Calibri"/>
      <color theme="1"/>
      <sz val="9"/>
      <scheme val="minor"/>
    </font>
    <font>
      <name val="Calibri"/>
      <b val="1"/>
      <color theme="1"/>
      <sz val="12"/>
      <scheme val="minor"/>
    </font>
    <font>
      <name val="&quot;Helvetica Neue&quot;"/>
      <color theme="1"/>
      <sz val="13"/>
    </font>
    <font>
      <name val="Arial"/>
      <color theme="1"/>
      <sz val="10"/>
    </font>
    <font>
      <name val="Calibri"/>
      <b val="1"/>
      <color theme="1"/>
      <sz val="14"/>
    </font>
    <font>
      <name val="Calibri"/>
      <b val="1"/>
      <color theme="1"/>
    </font>
    <font>
      <name val="Calibri"/>
      <color theme="1"/>
      <sz val="22"/>
      <scheme val="minor"/>
    </font>
    <font>
      <name val="Calibri"/>
      <b val="1"/>
      <color theme="1"/>
      <sz val="14"/>
      <scheme val="minor"/>
    </font>
    <font>
      <name val="Calibri"/>
      <color theme="1"/>
      <sz val="11"/>
      <scheme val="minor"/>
    </font>
    <font>
      <name val="Calibri"/>
      <color theme="1"/>
      <sz val="14"/>
      <scheme val="minor"/>
    </font>
  </fonts>
  <fills count="2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0A603"/>
        <bgColor rgb="FF20A603"/>
      </patternFill>
    </fill>
    <fill>
      <patternFill patternType="solid">
        <fgColor rgb="FFFFF046"/>
        <bgColor rgb="FFFFF04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D817B"/>
        <bgColor rgb="FFFD817B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53D52A"/>
        <bgColor rgb="FF53D52A"/>
      </patternFill>
    </fill>
    <fill>
      <patternFill patternType="solid">
        <fgColor rgb="FFCFE2F3"/>
        <bgColor rgb="FFCFE2F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58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3" fillId="3" borderId="2" applyAlignment="1" pivotButton="0" quotePrefix="0" xfId="0">
      <alignment horizontal="center" vertical="bottom" wrapText="1"/>
    </xf>
    <xf numFmtId="0" fontId="1" fillId="2" borderId="0" applyAlignment="1" pivotButton="0" quotePrefix="0" xfId="0">
      <alignment vertical="bottom"/>
    </xf>
    <xf numFmtId="0" fontId="4" fillId="3" borderId="2" applyAlignment="1" pivotButton="0" quotePrefix="0" xfId="0">
      <alignment horizontal="center"/>
    </xf>
    <xf numFmtId="164" fontId="1" fillId="2" borderId="0" applyAlignment="1" pivotButton="0" quotePrefix="0" xfId="0">
      <alignment vertical="bottom"/>
    </xf>
    <xf numFmtId="0" fontId="5" fillId="0" borderId="3" pivotButton="0" quotePrefix="0" xfId="0"/>
    <xf numFmtId="0" fontId="1" fillId="0" borderId="0" applyAlignment="1" pivotButton="0" quotePrefix="0" xfId="0">
      <alignment vertical="bottom"/>
    </xf>
    <xf numFmtId="0" fontId="6" fillId="3" borderId="2" applyAlignment="1" pivotButton="0" quotePrefix="0" xfId="0">
      <alignment horizontal="center" wrapText="1"/>
    </xf>
    <xf numFmtId="0" fontId="7" fillId="4" borderId="1" applyAlignment="1" pivotButton="0" quotePrefix="0" xfId="0">
      <alignment horizontal="center" vertical="bottom"/>
    </xf>
    <xf numFmtId="0" fontId="5" fillId="0" borderId="4" pivotButton="0" quotePrefix="0" xfId="0"/>
    <xf numFmtId="0" fontId="7" fillId="4" borderId="1" applyAlignment="1" pivotButton="0" quotePrefix="0" xfId="0">
      <alignment horizontal="center"/>
    </xf>
    <xf numFmtId="0" fontId="7" fillId="0" borderId="1" applyAlignment="1" pivotButton="0" quotePrefix="0" xfId="0">
      <alignment vertical="bottom"/>
    </xf>
    <xf numFmtId="0" fontId="3" fillId="5" borderId="1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wrapText="1"/>
    </xf>
    <xf numFmtId="0" fontId="8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bottom"/>
    </xf>
    <xf numFmtId="0" fontId="3" fillId="4" borderId="5" applyAlignment="1" pivotButton="0" quotePrefix="0" xfId="0">
      <alignment horizontal="center" vertical="bottom" wrapText="1"/>
    </xf>
    <xf numFmtId="0" fontId="5" fillId="0" borderId="5" pivotButton="0" quotePrefix="0" xfId="0"/>
    <xf numFmtId="0" fontId="9" fillId="5" borderId="1" applyAlignment="1" pivotButton="0" quotePrefix="0" xfId="0">
      <alignment horizontal="center" vertical="bottom" wrapText="1"/>
    </xf>
    <xf numFmtId="0" fontId="5" fillId="0" borderId="6" pivotButton="0" quotePrefix="0" xfId="0"/>
    <xf numFmtId="164" fontId="3" fillId="5" borderId="1" applyAlignment="1" pivotButton="0" quotePrefix="0" xfId="0">
      <alignment horizontal="center" vertical="bottom"/>
    </xf>
    <xf numFmtId="0" fontId="10" fillId="0" borderId="1" pivotButton="0" quotePrefix="0" xfId="0"/>
    <xf numFmtId="0" fontId="7" fillId="4" borderId="5" applyAlignment="1" pivotButton="0" quotePrefix="0" xfId="0">
      <alignment horizontal="center" vertical="bottom" wrapText="1"/>
    </xf>
    <xf numFmtId="0" fontId="11" fillId="6" borderId="1" applyAlignment="1" pivotButton="0" quotePrefix="0" xfId="0">
      <alignment horizontal="center"/>
    </xf>
    <xf numFmtId="0" fontId="1" fillId="7" borderId="1" applyAlignment="1" pivotButton="0" quotePrefix="0" xfId="0">
      <alignment vertical="bottom"/>
    </xf>
    <xf numFmtId="0" fontId="10" fillId="6" borderId="1" applyAlignment="1" pivotButton="0" quotePrefix="0" xfId="0">
      <alignment horizontal="left"/>
    </xf>
    <xf numFmtId="0" fontId="1" fillId="8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/>
    </xf>
    <xf numFmtId="0" fontId="12" fillId="9" borderId="1" applyAlignment="1" pivotButton="0" quotePrefix="0" xfId="0">
      <alignment horizontal="center" vertical="bottom"/>
    </xf>
    <xf numFmtId="0" fontId="7" fillId="4" borderId="6" applyAlignment="1" pivotButton="0" quotePrefix="0" xfId="0">
      <alignment horizontal="center" vertical="bottom"/>
    </xf>
    <xf numFmtId="0" fontId="1" fillId="9" borderId="1" applyAlignment="1" pivotButton="0" quotePrefix="0" xfId="0">
      <alignment horizontal="center" vertical="bottom"/>
    </xf>
    <xf numFmtId="0" fontId="8" fillId="0" borderId="1" pivotButton="0" quotePrefix="0" xfId="0"/>
    <xf numFmtId="0" fontId="7" fillId="4" borderId="6" applyAlignment="1" pivotButton="0" quotePrefix="0" xfId="0">
      <alignment horizontal="center" vertical="bottom" wrapText="1"/>
    </xf>
    <xf numFmtId="164" fontId="1" fillId="9" borderId="1" applyAlignment="1" pivotButton="0" quotePrefix="0" xfId="0">
      <alignment horizontal="center" vertical="bottom"/>
    </xf>
    <xf numFmtId="0" fontId="7" fillId="0" borderId="1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3" fillId="7" borderId="1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0" fontId="8" fillId="0" borderId="1" pivotButton="0" quotePrefix="0" xfId="0"/>
    <xf numFmtId="0" fontId="10" fillId="6" borderId="1" applyAlignment="1" pivotButton="0" quotePrefix="0" xfId="0">
      <alignment horizontal="center"/>
    </xf>
    <xf numFmtId="0" fontId="7" fillId="2" borderId="6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 wrapText="1"/>
    </xf>
    <xf numFmtId="0" fontId="1" fillId="2" borderId="6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8" fillId="6" borderId="1" pivotButton="0" quotePrefix="0" xfId="0"/>
    <xf numFmtId="0" fontId="7" fillId="10" borderId="6" applyAlignment="1" pivotButton="0" quotePrefix="0" xfId="0">
      <alignment horizontal="center" vertical="bottom" wrapText="1"/>
    </xf>
    <xf numFmtId="0" fontId="1" fillId="2" borderId="0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/>
    </xf>
    <xf numFmtId="0" fontId="1" fillId="7" borderId="1" applyAlignment="1" pivotButton="0" quotePrefix="0" xfId="0">
      <alignment vertical="bottom"/>
    </xf>
    <xf numFmtId="0" fontId="12" fillId="9" borderId="1" applyAlignment="1" pivotButton="0" quotePrefix="0" xfId="0">
      <alignment horizontal="center" vertical="bottom"/>
    </xf>
    <xf numFmtId="0" fontId="1" fillId="9" borderId="1" applyAlignment="1" pivotButton="0" quotePrefix="0" xfId="0">
      <alignment horizontal="center" vertical="bottom"/>
    </xf>
    <xf numFmtId="0" fontId="7" fillId="2" borderId="7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3" fillId="4" borderId="1" applyAlignment="1" pivotButton="0" quotePrefix="0" xfId="0">
      <alignment horizontal="center" vertical="bottom"/>
    </xf>
    <xf numFmtId="0" fontId="13" fillId="4" borderId="1" applyAlignment="1" pivotButton="0" quotePrefix="0" xfId="0">
      <alignment horizontal="center" vertical="bottom"/>
    </xf>
    <xf numFmtId="0" fontId="14" fillId="0" borderId="1" applyAlignment="1" pivotButton="0" quotePrefix="0" xfId="0">
      <alignment vertical="bottom"/>
    </xf>
    <xf numFmtId="0" fontId="15" fillId="2" borderId="7" applyAlignment="1" pivotButton="0" quotePrefix="0" xfId="0">
      <alignment vertical="bottom"/>
    </xf>
    <xf numFmtId="0" fontId="16" fillId="6" borderId="0" applyAlignment="1" pivotButton="0" quotePrefix="0" xfId="0">
      <alignment horizontal="center"/>
    </xf>
    <xf numFmtId="0" fontId="14" fillId="2" borderId="1" applyAlignment="1" pivotButton="0" quotePrefix="0" xfId="0">
      <alignment vertical="bottom"/>
    </xf>
    <xf numFmtId="0" fontId="1" fillId="2" borderId="6" applyAlignment="1" pivotButton="0" quotePrefix="0" xfId="0">
      <alignment vertical="bottom"/>
    </xf>
    <xf numFmtId="0" fontId="13" fillId="2" borderId="1" applyAlignment="1" pivotButton="0" quotePrefix="0" xfId="0">
      <alignment vertical="bottom"/>
    </xf>
    <xf numFmtId="0" fontId="15" fillId="2" borderId="6" applyAlignment="1" pivotButton="0" quotePrefix="0" xfId="0">
      <alignment vertical="bottom"/>
    </xf>
    <xf numFmtId="0" fontId="7" fillId="2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14" fillId="2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14" fillId="0" borderId="1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3" borderId="5" applyAlignment="1" pivotButton="0" quotePrefix="0" xfId="0">
      <alignment horizontal="center" vertical="bottom" wrapText="1"/>
    </xf>
    <xf numFmtId="0" fontId="7" fillId="3" borderId="6" applyAlignment="1" pivotButton="0" quotePrefix="0" xfId="0">
      <alignment horizontal="center" vertical="bottom" wrapText="1"/>
    </xf>
    <xf numFmtId="0" fontId="13" fillId="2" borderId="1" applyAlignment="1" pivotButton="0" quotePrefix="0" xfId="0">
      <alignment vertical="bottom"/>
    </xf>
    <xf numFmtId="0" fontId="3" fillId="4" borderId="8" applyAlignment="1" pivotButton="0" quotePrefix="0" xfId="0">
      <alignment horizontal="center" vertical="bottom" wrapText="1"/>
    </xf>
    <xf numFmtId="0" fontId="7" fillId="4" borderId="8" applyAlignment="1" pivotButton="0" quotePrefix="0" xfId="0">
      <alignment horizontal="center" vertical="bottom" wrapText="1"/>
    </xf>
    <xf numFmtId="0" fontId="7" fillId="4" borderId="7" applyAlignment="1" pivotButton="0" quotePrefix="0" xfId="0">
      <alignment horizontal="center" vertical="bottom"/>
    </xf>
    <xf numFmtId="4" fontId="7" fillId="2" borderId="6" applyAlignment="1" pivotButton="0" quotePrefix="0" xfId="0">
      <alignment horizontal="center" vertical="bottom"/>
    </xf>
    <xf numFmtId="0" fontId="7" fillId="3" borderId="8" applyAlignment="1" pivotButton="0" quotePrefix="0" xfId="0">
      <alignment horizontal="center" vertical="bottom" wrapText="1"/>
    </xf>
    <xf numFmtId="0" fontId="17" fillId="0" borderId="0" applyAlignment="1" pivotButton="0" quotePrefix="0" xfId="0">
      <alignment horizontal="left"/>
    </xf>
    <xf numFmtId="0" fontId="18" fillId="0" borderId="0" pivotButton="0" quotePrefix="0" xfId="0"/>
    <xf numFmtId="0" fontId="19" fillId="0" borderId="0" pivotButton="0" quotePrefix="0" xfId="0"/>
    <xf numFmtId="0" fontId="20" fillId="0" borderId="9" pivotButton="0" quotePrefix="0" xfId="0"/>
    <xf numFmtId="0" fontId="21" fillId="0" borderId="9" pivotButton="0" quotePrefix="0" xfId="0"/>
    <xf numFmtId="0" fontId="10" fillId="2" borderId="1" pivotButton="0" quotePrefix="0" xfId="0"/>
    <xf numFmtId="0" fontId="13" fillId="4" borderId="1" applyAlignment="1" pivotButton="0" quotePrefix="0" xfId="0">
      <alignment horizontal="center" vertical="bottom"/>
    </xf>
    <xf numFmtId="0" fontId="1" fillId="0" borderId="6" applyAlignment="1" pivotButton="0" quotePrefix="0" xfId="0">
      <alignment vertical="bottom"/>
    </xf>
    <xf numFmtId="0" fontId="21" fillId="0" borderId="10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15" fillId="2" borderId="7" applyAlignment="1" pivotButton="0" quotePrefix="0" xfId="0">
      <alignment vertical="bottom"/>
    </xf>
    <xf numFmtId="0" fontId="19" fillId="0" borderId="12" pivotButton="0" quotePrefix="0" xfId="0"/>
    <xf numFmtId="0" fontId="7" fillId="2" borderId="6" applyAlignment="1" pivotButton="0" quotePrefix="0" xfId="0">
      <alignment horizontal="center" vertical="bottom" wrapText="1"/>
    </xf>
    <xf numFmtId="0" fontId="21" fillId="0" borderId="1" pivotButton="0" quotePrefix="0" xfId="0"/>
    <xf numFmtId="0" fontId="23" fillId="0" borderId="1" pivotButton="0" quotePrefix="0" xfId="0"/>
    <xf numFmtId="0" fontId="24" fillId="0" borderId="1" pivotButton="0" quotePrefix="0" xfId="0"/>
    <xf numFmtId="0" fontId="24" fillId="5" borderId="1" pivotButton="0" quotePrefix="0" xfId="0"/>
    <xf numFmtId="0" fontId="24" fillId="6" borderId="1" pivotButton="0" quotePrefix="0" xfId="0"/>
    <xf numFmtId="0" fontId="5" fillId="0" borderId="7" pivotButton="0" quotePrefix="0" xfId="0"/>
    <xf numFmtId="0" fontId="7" fillId="2" borderId="7" applyAlignment="1" pivotButton="0" quotePrefix="0" xfId="0">
      <alignment vertical="bottom"/>
    </xf>
    <xf numFmtId="0" fontId="19" fillId="0" borderId="1" pivotButton="0" quotePrefix="0" xfId="0"/>
    <xf numFmtId="0" fontId="20" fillId="0" borderId="1" pivotButton="0" quotePrefix="0" xfId="0"/>
    <xf numFmtId="0" fontId="20" fillId="0" borderId="1" pivotButton="0" quotePrefix="0" xfId="0"/>
    <xf numFmtId="0" fontId="7" fillId="2" borderId="7" applyAlignment="1" pivotButton="0" quotePrefix="0" xfId="0">
      <alignment vertical="bottom" wrapText="1"/>
    </xf>
    <xf numFmtId="0" fontId="20" fillId="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bottom"/>
    </xf>
    <xf numFmtId="0" fontId="7" fillId="2" borderId="6" applyAlignment="1" pivotButton="0" quotePrefix="0" xfId="0">
      <alignment vertical="bottom"/>
    </xf>
    <xf numFmtId="0" fontId="19" fillId="5" borderId="1" pivotButton="0" quotePrefix="0" xfId="0"/>
    <xf numFmtId="0" fontId="12" fillId="7" borderId="1" applyAlignment="1" pivotButton="0" quotePrefix="0" xfId="0">
      <alignment vertical="top"/>
    </xf>
    <xf numFmtId="0" fontId="20" fillId="5" borderId="1" pivotButton="0" quotePrefix="0" xfId="0"/>
    <xf numFmtId="0" fontId="19" fillId="0" borderId="1" applyAlignment="1" pivotButton="0" quotePrefix="0" xfId="0">
      <alignment horizontal="center"/>
    </xf>
    <xf numFmtId="0" fontId="19" fillId="6" borderId="1" pivotButton="0" quotePrefix="0" xfId="0"/>
    <xf numFmtId="0" fontId="12" fillId="7" borderId="1" applyAlignment="1" pivotButton="0" quotePrefix="0" xfId="0">
      <alignment vertical="top"/>
    </xf>
    <xf numFmtId="0" fontId="14" fillId="3" borderId="6" applyAlignment="1" pivotButton="0" quotePrefix="0" xfId="0">
      <alignment horizontal="center" vertical="bottom"/>
    </xf>
    <xf numFmtId="0" fontId="19" fillId="2" borderId="1" pivotButton="0" quotePrefix="0" xfId="0"/>
    <xf numFmtId="0" fontId="25" fillId="4" borderId="8" applyAlignment="1" pivotButton="0" quotePrefix="0" xfId="0">
      <alignment horizontal="center" vertical="bottom"/>
    </xf>
    <xf numFmtId="0" fontId="7" fillId="4" borderId="8" applyAlignment="1" pivotButton="0" quotePrefix="0" xfId="0">
      <alignment horizontal="center" vertical="bottom"/>
    </xf>
    <xf numFmtId="0" fontId="26" fillId="6" borderId="1" pivotButton="0" quotePrefix="0" xfId="0"/>
    <xf numFmtId="0" fontId="27" fillId="7" borderId="1" applyAlignment="1" pivotButton="0" quotePrefix="0" xfId="0">
      <alignment vertical="top"/>
    </xf>
    <xf numFmtId="0" fontId="28" fillId="11" borderId="6" applyAlignment="1" pivotButton="0" quotePrefix="0" xfId="0">
      <alignment horizontal="center" vertical="bottom"/>
    </xf>
    <xf numFmtId="0" fontId="28" fillId="11" borderId="3" applyAlignment="1" pivotButton="0" quotePrefix="0" xfId="0">
      <alignment horizontal="center" vertical="bottom"/>
    </xf>
    <xf numFmtId="0" fontId="28" fillId="11" borderId="3" applyAlignment="1" pivotButton="0" quotePrefix="0" xfId="0">
      <alignment vertical="bottom"/>
    </xf>
    <xf numFmtId="0" fontId="3" fillId="12" borderId="1" applyAlignment="1" pivotButton="0" quotePrefix="0" xfId="0">
      <alignment horizontal="center" vertical="bottom"/>
    </xf>
    <xf numFmtId="0" fontId="1" fillId="12" borderId="1" applyAlignment="1" pivotButton="0" quotePrefix="0" xfId="0">
      <alignment vertical="bottom"/>
    </xf>
    <xf numFmtId="0" fontId="29" fillId="0" borderId="1" pivotButton="0" quotePrefix="0" xfId="0"/>
    <xf numFmtId="0" fontId="1" fillId="12" borderId="1" applyAlignment="1" pivotButton="0" quotePrefix="0" xfId="0">
      <alignment vertical="bottom"/>
    </xf>
    <xf numFmtId="0" fontId="25" fillId="0" borderId="1" applyAlignment="1" pivotButton="0" quotePrefix="0" xfId="0">
      <alignment vertical="bottom"/>
    </xf>
    <xf numFmtId="0" fontId="30" fillId="0" borderId="1" applyAlignment="1" pivotButton="0" quotePrefix="0" xfId="0">
      <alignment horizontal="center" vertical="bottom"/>
    </xf>
    <xf numFmtId="0" fontId="31" fillId="0" borderId="1" applyAlignment="1" pivotButton="0" quotePrefix="0" xfId="0">
      <alignment vertical="bottom"/>
    </xf>
    <xf numFmtId="0" fontId="14" fillId="0" borderId="7" applyAlignment="1" pivotButton="0" quotePrefix="0" xfId="0">
      <alignment vertical="bottom"/>
    </xf>
    <xf numFmtId="0" fontId="30" fillId="0" borderId="6" applyAlignment="1" pivotButton="0" quotePrefix="0" xfId="0">
      <alignment horizontal="center" vertical="bottom"/>
    </xf>
    <xf numFmtId="0" fontId="31" fillId="0" borderId="6" applyAlignment="1" pivotButton="0" quotePrefix="0" xfId="0">
      <alignment vertical="bottom"/>
    </xf>
    <xf numFmtId="0" fontId="32" fillId="0" borderId="6" applyAlignment="1" pivotButton="0" quotePrefix="0" xfId="0">
      <alignment horizontal="center" vertical="bottom"/>
    </xf>
    <xf numFmtId="0" fontId="14" fillId="13" borderId="7" applyAlignment="1" pivotButton="0" quotePrefix="0" xfId="0">
      <alignment vertical="bottom"/>
    </xf>
    <xf numFmtId="0" fontId="32" fillId="13" borderId="6" applyAlignment="1" pivotButton="0" quotePrefix="0" xfId="0">
      <alignment horizontal="center" vertical="bottom"/>
    </xf>
    <xf numFmtId="0" fontId="33" fillId="13" borderId="6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30" fillId="0" borderId="1" applyAlignment="1" pivotButton="0" quotePrefix="0" xfId="0">
      <alignment horizontal="center" vertical="bottom"/>
    </xf>
    <xf numFmtId="0" fontId="31" fillId="0" borderId="1" applyAlignment="1" pivotButton="0" quotePrefix="0" xfId="0">
      <alignment vertical="bottom"/>
    </xf>
    <xf numFmtId="0" fontId="7" fillId="0" borderId="7" applyAlignment="1" pivotButton="0" quotePrefix="0" xfId="0">
      <alignment vertical="bottom"/>
    </xf>
    <xf numFmtId="0" fontId="7" fillId="0" borderId="6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25" fillId="0" borderId="7" applyAlignment="1" pivotButton="0" quotePrefix="0" xfId="0">
      <alignment vertical="bottom"/>
    </xf>
    <xf numFmtId="0" fontId="34" fillId="7" borderId="1" applyAlignment="1" pivotButton="0" quotePrefix="0" xfId="0">
      <alignment vertical="top"/>
    </xf>
    <xf numFmtId="0" fontId="31" fillId="0" borderId="6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7" fillId="0" borderId="7" applyAlignment="1" pivotButton="0" quotePrefix="0" xfId="0">
      <alignment vertical="bottom"/>
    </xf>
    <xf numFmtId="0" fontId="20" fillId="0" borderId="1" applyAlignment="1" pivotButton="0" quotePrefix="0" xfId="0">
      <alignment horizontal="right"/>
    </xf>
    <xf numFmtId="0" fontId="32" fillId="0" borderId="6" applyAlignment="1" pivotButton="0" quotePrefix="0" xfId="0">
      <alignment horizontal="center" vertical="bottom"/>
    </xf>
    <xf numFmtId="0" fontId="20" fillId="0" borderId="13" pivotButton="0" quotePrefix="0" xfId="0"/>
    <xf numFmtId="0" fontId="21" fillId="0" borderId="13" pivotButton="0" quotePrefix="0" xfId="0"/>
    <xf numFmtId="0" fontId="7" fillId="3" borderId="8" applyAlignment="1" pivotButton="0" quotePrefix="0" xfId="0">
      <alignment horizontal="center" vertical="bottom"/>
    </xf>
    <xf numFmtId="0" fontId="20" fillId="5" borderId="13" pivotButton="0" quotePrefix="0" xfId="0"/>
    <xf numFmtId="0" fontId="7" fillId="3" borderId="6" applyAlignment="1" pivotButton="0" quotePrefix="0" xfId="0">
      <alignment horizontal="center" vertical="bottom"/>
    </xf>
    <xf numFmtId="0" fontId="35" fillId="0" borderId="14" applyAlignment="1" pivotButton="0" quotePrefix="0" xfId="0">
      <alignment horizontal="center"/>
    </xf>
    <xf numFmtId="0" fontId="5" fillId="0" borderId="15" pivotButton="0" quotePrefix="0" xfId="0"/>
    <xf numFmtId="0" fontId="5" fillId="0" borderId="16" pivotButton="0" quotePrefix="0" xfId="0"/>
    <xf numFmtId="0" fontId="7" fillId="4" borderId="8" applyAlignment="1" pivotButton="0" quotePrefix="0" xfId="0">
      <alignment horizontal="center" vertical="bottom"/>
    </xf>
    <xf numFmtId="0" fontId="21" fillId="0" borderId="13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bottom"/>
    </xf>
    <xf numFmtId="0" fontId="21" fillId="14" borderId="13" pivotButton="0" quotePrefix="0" xfId="0"/>
    <xf numFmtId="0" fontId="7" fillId="10" borderId="6" applyAlignment="1" pivotButton="0" quotePrefix="0" xfId="0">
      <alignment horizontal="center" vertical="bottom"/>
    </xf>
    <xf numFmtId="0" fontId="22" fillId="0" borderId="0" pivotButton="0" quotePrefix="0" xfId="0"/>
    <xf numFmtId="0" fontId="36" fillId="0" borderId="0" pivotButton="0" quotePrefix="0" xfId="0"/>
    <xf numFmtId="0" fontId="27" fillId="7" borderId="1" applyAlignment="1" pivotButton="0" quotePrefix="0" xfId="0">
      <alignment vertical="top"/>
    </xf>
    <xf numFmtId="0" fontId="25" fillId="0" borderId="7" applyAlignment="1" pivotButton="0" quotePrefix="0" xfId="0">
      <alignment vertical="bottom"/>
    </xf>
    <xf numFmtId="0" fontId="25" fillId="4" borderId="5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bottom"/>
    </xf>
    <xf numFmtId="0" fontId="33" fillId="0" borderId="6" applyAlignment="1" pivotButton="0" quotePrefix="0" xfId="0">
      <alignment vertical="bottom"/>
    </xf>
    <xf numFmtId="0" fontId="30" fillId="0" borderId="6" applyAlignment="1" pivotButton="0" quotePrefix="0" xfId="0">
      <alignment horizontal="center" vertical="bottom"/>
    </xf>
    <xf numFmtId="0" fontId="34" fillId="7" borderId="1" applyAlignment="1" pivotButton="0" quotePrefix="0" xfId="0">
      <alignment vertical="top"/>
    </xf>
    <xf numFmtId="165" fontId="30" fillId="0" borderId="6" applyAlignment="1" pivotButton="0" quotePrefix="0" xfId="0">
      <alignment horizontal="center" vertical="bottom"/>
    </xf>
    <xf numFmtId="0" fontId="3" fillId="15" borderId="1" applyAlignment="1" pivotButton="0" quotePrefix="0" xfId="0">
      <alignment horizontal="center" vertical="bottom"/>
    </xf>
    <xf numFmtId="0" fontId="30" fillId="15" borderId="1" applyAlignment="1" pivotButton="0" quotePrefix="0" xfId="0">
      <alignment horizontal="center" vertical="bottom"/>
    </xf>
    <xf numFmtId="0" fontId="26" fillId="0" borderId="1" applyAlignment="1" pivotButton="0" quotePrefix="0" xfId="0">
      <alignment vertical="bottom"/>
    </xf>
    <xf numFmtId="0" fontId="15" fillId="2" borderId="6" applyAlignment="1" pivotButton="0" quotePrefix="0" xfId="0">
      <alignment vertical="bottom"/>
    </xf>
    <xf numFmtId="0" fontId="25" fillId="16" borderId="1" applyAlignment="1" pivotButton="0" quotePrefix="0" xfId="0">
      <alignment horizontal="center" vertical="bottom"/>
    </xf>
    <xf numFmtId="0" fontId="30" fillId="16" borderId="1" applyAlignment="1" pivotButton="0" quotePrefix="0" xfId="0">
      <alignment horizontal="center" vertical="bottom"/>
    </xf>
    <xf numFmtId="0" fontId="25" fillId="2" borderId="7" applyAlignment="1" pivotButton="0" quotePrefix="0" xfId="0">
      <alignment vertical="bottom"/>
    </xf>
    <xf numFmtId="0" fontId="14" fillId="2" borderId="7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7" fillId="0" borderId="6" applyAlignment="1" pivotButton="0" quotePrefix="0" xfId="0">
      <alignment vertical="bottom"/>
    </xf>
    <xf numFmtId="0" fontId="13" fillId="0" borderId="6" applyAlignment="1" pivotButton="0" quotePrefix="0" xfId="0">
      <alignment horizontal="center" vertical="bottom"/>
    </xf>
    <xf numFmtId="0" fontId="25" fillId="13" borderId="7" applyAlignment="1" pivotButton="0" quotePrefix="0" xfId="0">
      <alignment horizontal="center" vertical="bottom"/>
    </xf>
    <xf numFmtId="0" fontId="30" fillId="13" borderId="6" applyAlignment="1" pivotButton="0" quotePrefix="0" xfId="0">
      <alignment horizontal="center" vertical="bottom"/>
    </xf>
    <xf numFmtId="0" fontId="7" fillId="0" borderId="6" applyAlignment="1" pivotButton="0" quotePrefix="0" xfId="0">
      <alignment vertical="bottom"/>
    </xf>
    <xf numFmtId="0" fontId="13" fillId="0" borderId="6" applyAlignment="1" pivotButton="0" quotePrefix="0" xfId="0">
      <alignment horizontal="center" vertical="bottom"/>
    </xf>
    <xf numFmtId="0" fontId="37" fillId="7" borderId="0" applyAlignment="1" pivotButton="0" quotePrefix="0" xfId="0">
      <alignment horizontal="left"/>
    </xf>
    <xf numFmtId="0" fontId="38" fillId="17" borderId="7" applyAlignment="1" pivotButton="0" quotePrefix="0" xfId="0">
      <alignment vertical="bottom"/>
    </xf>
    <xf numFmtId="0" fontId="38" fillId="17" borderId="7" applyAlignment="1" pivotButton="0" quotePrefix="0" xfId="0">
      <alignment horizontal="center" vertical="bottom"/>
    </xf>
    <xf numFmtId="0" fontId="7" fillId="3" borderId="5" applyAlignment="1" pivotButton="0" quotePrefix="0" xfId="0">
      <alignment horizontal="center" vertical="bottom"/>
    </xf>
    <xf numFmtId="49" fontId="7" fillId="4" borderId="8" applyAlignment="1" pivotButton="0" quotePrefix="0" xfId="0">
      <alignment horizontal="center" vertical="bottom" wrapText="1"/>
    </xf>
    <xf numFmtId="0" fontId="7" fillId="0" borderId="6" applyAlignment="1" pivotButton="0" quotePrefix="0" xfId="0">
      <alignment horizontal="center" vertical="bottom" wrapText="1"/>
    </xf>
    <xf numFmtId="0" fontId="7" fillId="0" borderId="6" applyAlignment="1" pivotButton="0" quotePrefix="0" xfId="0">
      <alignment horizontal="center" vertical="bottom" wrapText="1"/>
    </xf>
    <xf numFmtId="0" fontId="25" fillId="9" borderId="7" applyAlignment="1" pivotButton="0" quotePrefix="0" xfId="0">
      <alignment horizontal="center" vertical="bottom"/>
    </xf>
    <xf numFmtId="0" fontId="32" fillId="9" borderId="6" applyAlignment="1" pivotButton="0" quotePrefix="0" xfId="0">
      <alignment horizontal="center" vertical="bottom"/>
    </xf>
    <xf numFmtId="0" fontId="38" fillId="0" borderId="7" applyAlignment="1" pivotButton="0" quotePrefix="0" xfId="0">
      <alignment vertical="bottom"/>
    </xf>
    <xf numFmtId="49" fontId="7" fillId="0" borderId="6" applyAlignment="1" pivotButton="0" quotePrefix="0" xfId="0">
      <alignment horizontal="center" vertical="bottom" wrapText="1"/>
    </xf>
    <xf numFmtId="0" fontId="25" fillId="10" borderId="7" applyAlignment="1" pivotButton="0" quotePrefix="0" xfId="0">
      <alignment horizontal="center" vertical="bottom"/>
    </xf>
    <xf numFmtId="0" fontId="30" fillId="10" borderId="6" applyAlignment="1" pivotButton="0" quotePrefix="0" xfId="0">
      <alignment horizontal="center" vertical="bottom"/>
    </xf>
    <xf numFmtId="0" fontId="33" fillId="0" borderId="6" applyAlignment="1" pivotButton="0" quotePrefix="0" xfId="0">
      <alignment vertical="bottom"/>
    </xf>
    <xf numFmtId="0" fontId="32" fillId="13" borderId="6" applyAlignment="1" pivotButton="0" quotePrefix="0" xfId="0">
      <alignment horizontal="center" vertical="bottom"/>
    </xf>
    <xf numFmtId="49" fontId="7" fillId="4" borderId="8" applyAlignment="1" pivotButton="0" quotePrefix="0" xfId="0">
      <alignment horizontal="center" vertical="bottom" wrapText="1"/>
    </xf>
    <xf numFmtId="0" fontId="38" fillId="2" borderId="7" applyAlignment="1" pivotButton="0" quotePrefix="0" xfId="0">
      <alignment vertical="bottom"/>
    </xf>
    <xf numFmtId="0" fontId="32" fillId="2" borderId="6" applyAlignment="1" pivotButton="0" quotePrefix="0" xfId="0">
      <alignment horizontal="center" vertical="bottom"/>
    </xf>
    <xf numFmtId="0" fontId="33" fillId="2" borderId="6" applyAlignment="1" pivotButton="0" quotePrefix="0" xfId="0">
      <alignment vertical="bottom"/>
    </xf>
    <xf numFmtId="0" fontId="32" fillId="2" borderId="6" applyAlignment="1" pivotButton="0" quotePrefix="0" xfId="0">
      <alignment horizontal="center" vertical="bottom"/>
    </xf>
    <xf numFmtId="0" fontId="25" fillId="12" borderId="7" applyAlignment="1" pivotButton="0" quotePrefix="0" xfId="0">
      <alignment horizontal="center" vertical="bottom"/>
    </xf>
    <xf numFmtId="0" fontId="32" fillId="12" borderId="6" applyAlignment="1" pivotButton="0" quotePrefix="0" xfId="0">
      <alignment horizontal="center" vertical="bottom"/>
    </xf>
    <xf numFmtId="0" fontId="38" fillId="0" borderId="7" applyAlignment="1" pivotButton="0" quotePrefix="0" xfId="0">
      <alignment vertical="bottom"/>
    </xf>
    <xf numFmtId="0" fontId="33" fillId="0" borderId="1" applyAlignment="1" pivotButton="0" quotePrefix="0" xfId="0">
      <alignment vertical="bottom"/>
    </xf>
    <xf numFmtId="0" fontId="32" fillId="0" borderId="1" applyAlignment="1" pivotButton="0" quotePrefix="0" xfId="0">
      <alignment horizontal="center" vertical="bottom"/>
    </xf>
    <xf numFmtId="0" fontId="30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center"/>
    </xf>
    <xf numFmtId="0" fontId="30" fillId="13" borderId="1" pivotButton="0" quotePrefix="0" xfId="0"/>
    <xf numFmtId="0" fontId="30" fillId="13" borderId="1" applyAlignment="1" pivotButton="0" quotePrefix="0" xfId="0">
      <alignment horizontal="center"/>
    </xf>
    <xf numFmtId="0" fontId="3" fillId="4" borderId="5" applyAlignment="1" pivotButton="0" quotePrefix="0" xfId="0">
      <alignment horizontal="center" vertical="bottom"/>
    </xf>
    <xf numFmtId="0" fontId="31" fillId="13" borderId="1" pivotButton="0" quotePrefix="0" xfId="0"/>
    <xf numFmtId="0" fontId="38" fillId="0" borderId="1" pivotButton="0" quotePrefix="0" xfId="0"/>
    <xf numFmtId="0" fontId="31" fillId="0" borderId="1" pivotButton="0" quotePrefix="0" xfId="0"/>
    <xf numFmtId="0" fontId="7" fillId="4" borderId="5" applyAlignment="1" pivotButton="0" quotePrefix="0" xfId="0">
      <alignment horizontal="center" vertical="bottom"/>
    </xf>
    <xf numFmtId="0" fontId="30" fillId="0" borderId="1" applyAlignment="1" pivotButton="0" quotePrefix="0" xfId="0">
      <alignment horizontal="center"/>
    </xf>
    <xf numFmtId="0" fontId="31" fillId="0" borderId="1" pivotButton="0" quotePrefix="0" xfId="0"/>
    <xf numFmtId="0" fontId="39" fillId="0" borderId="0" applyAlignment="1" pivotButton="0" quotePrefix="0" xfId="0">
      <alignment horizontal="center"/>
    </xf>
    <xf numFmtId="0" fontId="39" fillId="17" borderId="1" applyAlignment="1" pivotButton="0" quotePrefix="0" xfId="0">
      <alignment horizontal="center"/>
    </xf>
    <xf numFmtId="0" fontId="28" fillId="11" borderId="1" applyAlignment="1" pivotButton="0" quotePrefix="0" xfId="0">
      <alignment horizontal="center" vertical="bottom"/>
    </xf>
    <xf numFmtId="0" fontId="25" fillId="2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1" fillId="13" borderId="1" applyAlignment="1" pivotButton="0" quotePrefix="0" xfId="0">
      <alignment vertical="bottom"/>
    </xf>
    <xf numFmtId="0" fontId="3" fillId="13" borderId="1" applyAlignment="1" pivotButton="0" quotePrefix="0" xfId="0">
      <alignment horizontal="center" vertical="bottom"/>
    </xf>
    <xf numFmtId="0" fontId="40" fillId="2" borderId="6" applyAlignment="1" pivotButton="0" quotePrefix="0" xfId="0">
      <alignment vertical="bottom"/>
    </xf>
    <xf numFmtId="0" fontId="26" fillId="13" borderId="7" applyAlignment="1" pivotButton="0" quotePrefix="0" xfId="0">
      <alignment horizontal="center" vertical="bottom"/>
    </xf>
    <xf numFmtId="0" fontId="31" fillId="13" borderId="6" applyAlignment="1" pivotButton="0" quotePrefix="0" xfId="0">
      <alignment horizontal="center" vertical="bottom"/>
    </xf>
    <xf numFmtId="0" fontId="30" fillId="13" borderId="1" applyAlignment="1" pivotButton="0" quotePrefix="0" xfId="0">
      <alignment horizontal="center" vertical="bottom"/>
    </xf>
    <xf numFmtId="0" fontId="3" fillId="4" borderId="5" applyAlignment="1" pivotButton="0" quotePrefix="0" xfId="0">
      <alignment horizontal="center" vertical="bottom"/>
    </xf>
    <xf numFmtId="0" fontId="14" fillId="2" borderId="1" applyAlignment="1" pivotButton="0" quotePrefix="0" xfId="0">
      <alignment vertical="bottom"/>
    </xf>
    <xf numFmtId="0" fontId="38" fillId="0" borderId="1" applyAlignment="1" pivotButton="0" quotePrefix="0" xfId="0">
      <alignment horizontal="center" vertical="bottom"/>
    </xf>
    <xf numFmtId="0" fontId="15" fillId="0" borderId="6" applyAlignment="1" pivotButton="0" quotePrefix="0" xfId="0">
      <alignment vertical="bottom"/>
    </xf>
    <xf numFmtId="0" fontId="15" fillId="0" borderId="6" applyAlignment="1" pivotButton="0" quotePrefix="0" xfId="0">
      <alignment horizontal="center" vertical="bottom"/>
    </xf>
    <xf numFmtId="0" fontId="31" fillId="13" borderId="1" applyAlignment="1" pivotButton="0" quotePrefix="0" xfId="0">
      <alignment vertical="bottom"/>
    </xf>
    <xf numFmtId="0" fontId="15" fillId="0" borderId="6" applyAlignment="1" pivotButton="0" quotePrefix="0" xfId="0">
      <alignment horizontal="center" vertical="bottom"/>
    </xf>
    <xf numFmtId="0" fontId="25" fillId="0" borderId="1" pivotButton="0" quotePrefix="0" xfId="0"/>
    <xf numFmtId="0" fontId="8" fillId="13" borderId="1" pivotButton="0" quotePrefix="0" xfId="0"/>
    <xf numFmtId="0" fontId="39" fillId="13" borderId="1" applyAlignment="1" pivotButton="0" quotePrefix="0" xfId="0">
      <alignment horizontal="center"/>
    </xf>
    <xf numFmtId="0" fontId="41" fillId="2" borderId="6" applyAlignment="1" pivotButton="0" quotePrefix="0" xfId="0">
      <alignment vertical="bottom"/>
    </xf>
    <xf numFmtId="0" fontId="42" fillId="7" borderId="1" applyAlignment="1" pivotButton="0" quotePrefix="0" xfId="0">
      <alignment vertical="top"/>
    </xf>
    <xf numFmtId="0" fontId="43" fillId="18" borderId="7" applyAlignment="1" pivotButton="0" quotePrefix="0" xfId="0">
      <alignment horizontal="center" vertical="bottom"/>
    </xf>
    <xf numFmtId="0" fontId="43" fillId="18" borderId="6" applyAlignment="1" pivotButton="0" quotePrefix="0" xfId="0">
      <alignment horizontal="center" vertical="bottom"/>
    </xf>
    <xf numFmtId="0" fontId="13" fillId="0" borderId="7" applyAlignment="1" pivotButton="0" quotePrefix="0" xfId="0">
      <alignment vertical="top"/>
    </xf>
    <xf numFmtId="0" fontId="13" fillId="0" borderId="6" applyAlignment="1" pivotButton="0" quotePrefix="0" xfId="0">
      <alignment vertical="bottom"/>
    </xf>
    <xf numFmtId="0" fontId="13" fillId="0" borderId="6" applyAlignment="1" pivotButton="0" quotePrefix="0" xfId="0">
      <alignment horizontal="center" vertical="bottom"/>
    </xf>
    <xf numFmtId="0" fontId="13" fillId="0" borderId="7" applyAlignment="1" pivotButton="0" quotePrefix="0" xfId="0">
      <alignment vertical="bottom"/>
    </xf>
    <xf numFmtId="0" fontId="13" fillId="0" borderId="6" applyAlignment="1" pivotButton="0" quotePrefix="0" xfId="0">
      <alignment vertical="bottom"/>
    </xf>
    <xf numFmtId="0" fontId="13" fillId="0" borderId="7" applyAlignment="1" pivotButton="0" quotePrefix="0" xfId="0">
      <alignment horizontal="left" vertical="top"/>
    </xf>
    <xf numFmtId="0" fontId="13" fillId="0" borderId="7" applyAlignment="1" pivotButton="0" quotePrefix="0" xfId="0">
      <alignment vertical="top"/>
    </xf>
    <xf numFmtId="0" fontId="13" fillId="2" borderId="7" applyAlignment="1" pivotButton="0" quotePrefix="0" xfId="0">
      <alignment vertical="bottom"/>
    </xf>
    <xf numFmtId="0" fontId="13" fillId="0" borderId="1" pivotButton="0" quotePrefix="0" xfId="0"/>
    <xf numFmtId="0" fontId="13" fillId="2" borderId="6" applyAlignment="1" pivotButton="0" quotePrefix="0" xfId="0">
      <alignment horizontal="center" vertical="bottom"/>
    </xf>
    <xf numFmtId="0" fontId="13" fillId="2" borderId="6" applyAlignment="1" pivotButton="0" quotePrefix="0" xfId="0">
      <alignment vertical="bottom"/>
    </xf>
    <xf numFmtId="0" fontId="3" fillId="7" borderId="1" applyAlignment="1" pivotButton="0" quotePrefix="0" xfId="0">
      <alignment vertical="bottom"/>
    </xf>
    <xf numFmtId="0" fontId="13" fillId="0" borderId="7" applyAlignment="1" pivotButton="0" quotePrefix="0" xfId="0">
      <alignment vertical="bottom"/>
    </xf>
    <xf numFmtId="0" fontId="40" fillId="18" borderId="1" applyAlignment="1" pivotButton="0" quotePrefix="0" xfId="0">
      <alignment horizontal="center" vertical="bottom"/>
    </xf>
    <xf numFmtId="0" fontId="40" fillId="18" borderId="1" applyAlignment="1" pivotButton="0" quotePrefix="0" xfId="0">
      <alignment horizontal="center" vertical="bottom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bottom"/>
    </xf>
    <xf numFmtId="0" fontId="13" fillId="0" borderId="0" pivotButton="0" quotePrefix="0" xfId="0"/>
    <xf numFmtId="0" fontId="44" fillId="17" borderId="1" applyAlignment="1" pivotButton="0" quotePrefix="0" xfId="0">
      <alignment horizontal="center"/>
    </xf>
    <xf numFmtId="0" fontId="13" fillId="2" borderId="0" pivotButton="0" quotePrefix="0" xfId="0"/>
    <xf numFmtId="0" fontId="45" fillId="2" borderId="0" pivotButton="0" quotePrefix="0" xfId="0"/>
    <xf numFmtId="0" fontId="43" fillId="18" borderId="1" applyAlignment="1" pivotButton="0" quotePrefix="0" xfId="0">
      <alignment horizontal="center"/>
    </xf>
    <xf numFmtId="0" fontId="43" fillId="18" borderId="1" applyAlignment="1" pivotButton="0" quotePrefix="0" xfId="0">
      <alignment horizontal="center" vertical="bottom"/>
    </xf>
    <xf numFmtId="0" fontId="46" fillId="18" borderId="1" applyAlignment="1" pivotButton="0" quotePrefix="0" xfId="0">
      <alignment horizontal="center" vertical="top"/>
    </xf>
    <xf numFmtId="0" fontId="46" fillId="18" borderId="3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/>
    </xf>
    <xf numFmtId="0" fontId="45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5" fillId="0" borderId="7" applyAlignment="1" pivotButton="0" quotePrefix="0" xfId="0">
      <alignment vertical="top"/>
    </xf>
    <xf numFmtId="0" fontId="13" fillId="0" borderId="1" applyAlignment="1" pivotButton="0" quotePrefix="0" xfId="0">
      <alignment vertical="top"/>
    </xf>
    <xf numFmtId="0" fontId="13" fillId="2" borderId="1" applyAlignment="1" pivotButton="0" quotePrefix="0" xfId="0">
      <alignment horizontal="center"/>
    </xf>
    <xf numFmtId="0" fontId="15" fillId="0" borderId="6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4" fillId="0" borderId="7" applyAlignment="1" pivotButton="0" quotePrefix="0" xfId="0">
      <alignment vertical="top"/>
    </xf>
    <xf numFmtId="0" fontId="13" fillId="0" borderId="6" applyAlignment="1" pivotButton="0" quotePrefix="0" xfId="0">
      <alignment vertical="top"/>
    </xf>
    <xf numFmtId="0" fontId="14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vertical="top"/>
    </xf>
    <xf numFmtId="0" fontId="46" fillId="18" borderId="7" applyAlignment="1" pivotButton="0" quotePrefix="0" xfId="0">
      <alignment horizontal="center" vertical="top"/>
    </xf>
    <xf numFmtId="0" fontId="46" fillId="18" borderId="6" applyAlignment="1" pivotButton="0" quotePrefix="0" xfId="0">
      <alignment horizontal="center" vertical="top"/>
    </xf>
    <xf numFmtId="0" fontId="15" fillId="0" borderId="6" applyAlignment="1" pivotButton="0" quotePrefix="0" xfId="0">
      <alignment horizontal="center" vertical="top"/>
    </xf>
    <xf numFmtId="0" fontId="13" fillId="2" borderId="6" applyAlignment="1" pivotButton="0" quotePrefix="0" xfId="0">
      <alignment vertical="top"/>
    </xf>
    <xf numFmtId="0" fontId="13" fillId="0" borderId="1" pivotButton="0" quotePrefix="0" xfId="0"/>
    <xf numFmtId="0" fontId="15" fillId="0" borderId="6" applyAlignment="1" pivotButton="0" quotePrefix="0" xfId="0">
      <alignment vertical="top"/>
    </xf>
    <xf numFmtId="0" fontId="45" fillId="2" borderId="1" pivotButton="0" quotePrefix="0" xfId="0"/>
    <xf numFmtId="0" fontId="13" fillId="2" borderId="1" pivotButton="0" quotePrefix="0" xfId="0"/>
    <xf numFmtId="0" fontId="13" fillId="0" borderId="0" applyAlignment="1" pivotButton="0" quotePrefix="0" xfId="0">
      <alignment horizontal="center"/>
    </xf>
    <xf numFmtId="0" fontId="8" fillId="17" borderId="1" applyAlignment="1" pivotButton="0" quotePrefix="0" xfId="0">
      <alignment horizontal="center"/>
    </xf>
    <xf numFmtId="0" fontId="8" fillId="0" borderId="0" pivotButton="0" quotePrefix="0" xfId="0"/>
    <xf numFmtId="0" fontId="43" fillId="18" borderId="3" applyAlignment="1" pivotButton="0" quotePrefix="0" xfId="0">
      <alignment horizontal="center" vertical="bottom"/>
    </xf>
    <xf numFmtId="0" fontId="43" fillId="18" borderId="2" applyAlignment="1" pivotButton="0" quotePrefix="0" xfId="0">
      <alignment horizontal="center" vertical="bottom"/>
    </xf>
    <xf numFmtId="0" fontId="43" fillId="18" borderId="1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/>
    </xf>
    <xf numFmtId="0" fontId="15" fillId="2" borderId="7" applyAlignment="1" pivotButton="0" quotePrefix="0" xfId="0">
      <alignment vertical="top"/>
    </xf>
    <xf numFmtId="0" fontId="7" fillId="0" borderId="6" applyAlignment="1" pivotButton="0" quotePrefix="0" xfId="0">
      <alignment horizontal="center" vertical="top"/>
    </xf>
    <xf numFmtId="0" fontId="15" fillId="2" borderId="6" applyAlignment="1" pivotButton="0" quotePrefix="0" xfId="0">
      <alignment horizontal="center" vertical="top"/>
    </xf>
    <xf numFmtId="0" fontId="13" fillId="2" borderId="1" applyAlignment="1" pivotButton="0" quotePrefix="0" xfId="0">
      <alignment vertical="bottom"/>
    </xf>
    <xf numFmtId="0" fontId="13" fillId="0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center" vertical="bottom"/>
    </xf>
    <xf numFmtId="0" fontId="40" fillId="18" borderId="7" applyAlignment="1" pivotButton="0" quotePrefix="0" xfId="0">
      <alignment horizontal="center" vertical="bottom"/>
    </xf>
    <xf numFmtId="0" fontId="40" fillId="18" borderId="6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14" fillId="0" borderId="6" applyAlignment="1" pivotButton="0" quotePrefix="0" xfId="0">
      <alignment horizontal="center" vertical="bottom"/>
    </xf>
    <xf numFmtId="0" fontId="2" fillId="7" borderId="1" applyAlignment="1" pivotButton="0" quotePrefix="0" xfId="0">
      <alignment vertical="bottom" wrapText="1"/>
    </xf>
    <xf numFmtId="166" fontId="8" fillId="10" borderId="0" applyAlignment="1" pivotButton="0" quotePrefix="0" xfId="0">
      <alignment horizontal="center"/>
    </xf>
    <xf numFmtId="0" fontId="25" fillId="11" borderId="1" applyAlignment="1" pivotButton="0" quotePrefix="0" xfId="0">
      <alignment horizontal="center" vertical="bottom"/>
    </xf>
    <xf numFmtId="0" fontId="25" fillId="11" borderId="1" applyAlignment="1" pivotButton="0" quotePrefix="0" xfId="0">
      <alignment vertical="bottom"/>
    </xf>
    <xf numFmtId="0" fontId="33" fillId="0" borderId="1" applyAlignment="1" pivotButton="0" quotePrefix="0" xfId="0">
      <alignment horizontal="center"/>
    </xf>
    <xf numFmtId="0" fontId="33" fillId="0" borderId="1" applyAlignment="1" pivotButton="0" quotePrefix="0" xfId="0">
      <alignment horizontal="left"/>
    </xf>
    <xf numFmtId="0" fontId="15" fillId="2" borderId="6" applyAlignment="1" pivotButton="0" quotePrefix="0" xfId="0">
      <alignment vertical="top"/>
    </xf>
    <xf numFmtId="0" fontId="33" fillId="0" borderId="1" applyAlignment="1" pivotButton="0" quotePrefix="0" xfId="0">
      <alignment horizontal="center"/>
    </xf>
    <xf numFmtId="0" fontId="33" fillId="0" borderId="0" pivotButton="0" quotePrefix="0" xfId="0"/>
    <xf numFmtId="0" fontId="33" fillId="0" borderId="0" applyAlignment="1" pivotButton="0" quotePrefix="0" xfId="0">
      <alignment horizontal="center"/>
    </xf>
    <xf numFmtId="167" fontId="15" fillId="0" borderId="6" applyAlignment="1" pivotButton="0" quotePrefix="0" xfId="0">
      <alignment horizontal="center" vertical="top"/>
    </xf>
    <xf numFmtId="0" fontId="32" fillId="18" borderId="1" applyAlignment="1" pivotButton="0" quotePrefix="0" xfId="0">
      <alignment horizontal="center" vertical="bottom"/>
    </xf>
    <xf numFmtId="0" fontId="32" fillId="18" borderId="1" applyAlignment="1" pivotButton="0" quotePrefix="0" xfId="0">
      <alignment horizontal="left" vertical="bottom"/>
    </xf>
    <xf numFmtId="0" fontId="14" fillId="2" borderId="7" applyAlignment="1" pivotButton="0" quotePrefix="0" xfId="0">
      <alignment vertical="top"/>
    </xf>
    <xf numFmtId="0" fontId="33" fillId="0" borderId="1" applyAlignment="1" pivotButton="0" quotePrefix="0" xfId="0">
      <alignment horizontal="left" vertical="bottom"/>
    </xf>
    <xf numFmtId="0" fontId="33" fillId="0" borderId="1" applyAlignment="1" pivotButton="0" quotePrefix="0" xfId="0">
      <alignment horizontal="center" vertical="bottom"/>
    </xf>
    <xf numFmtId="0" fontId="14" fillId="2" borderId="6" applyAlignment="1" pivotButton="0" quotePrefix="0" xfId="0">
      <alignment horizontal="center" vertical="top"/>
    </xf>
    <xf numFmtId="167" fontId="7" fillId="0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/>
    </xf>
    <xf numFmtId="0" fontId="47" fillId="7" borderId="1" applyAlignment="1" pivotButton="0" quotePrefix="0" xfId="0">
      <alignment vertical="bottom"/>
    </xf>
    <xf numFmtId="0" fontId="33" fillId="0" borderId="1" applyAlignment="1" pivotButton="0" quotePrefix="0" xfId="0">
      <alignment horizontal="center" vertical="bottom"/>
    </xf>
    <xf numFmtId="0" fontId="33" fillId="2" borderId="1" applyAlignment="1" pivotButton="0" quotePrefix="0" xfId="0">
      <alignment horizontal="center" vertical="bottom"/>
    </xf>
    <xf numFmtId="0" fontId="3" fillId="11" borderId="1" applyAlignment="1" pivotButton="0" quotePrefix="0" xfId="0">
      <alignment horizontal="center" vertical="bottom"/>
    </xf>
    <xf numFmtId="0" fontId="3" fillId="11" borderId="1" applyAlignment="1" pivotButton="0" quotePrefix="0" xfId="0">
      <alignment vertical="bottom"/>
    </xf>
    <xf numFmtId="0" fontId="48" fillId="7" borderId="1" applyAlignment="1" pivotButton="0" quotePrefix="0" xfId="0">
      <alignment vertical="bottom"/>
    </xf>
    <xf numFmtId="0" fontId="8" fillId="2" borderId="0" applyAlignment="1" pivotButton="0" quotePrefix="0" xfId="0">
      <alignment horizontal="center"/>
    </xf>
    <xf numFmtId="0" fontId="43" fillId="18" borderId="2" applyAlignment="1" pivotButton="0" quotePrefix="0" xfId="0">
      <alignment horizontal="center" vertical="bottom"/>
    </xf>
    <xf numFmtId="0" fontId="43" fillId="18" borderId="3" applyAlignment="1" pivotButton="0" quotePrefix="0" xfId="0">
      <alignment horizontal="center" vertical="bottom"/>
    </xf>
    <xf numFmtId="0" fontId="43" fillId="11" borderId="1" applyAlignment="1" pivotButton="0" quotePrefix="0" xfId="0">
      <alignment horizontal="center" vertical="bottom"/>
    </xf>
    <xf numFmtId="168" fontId="13" fillId="2" borderId="6" applyAlignment="1" pivotButton="0" quotePrefix="0" xfId="0">
      <alignment vertical="top"/>
    </xf>
    <xf numFmtId="0" fontId="49" fillId="7" borderId="1" pivotButton="0" quotePrefix="0" xfId="0"/>
    <xf numFmtId="0" fontId="50" fillId="7" borderId="1" pivotButton="0" quotePrefix="0" xfId="0"/>
    <xf numFmtId="164" fontId="1" fillId="0" borderId="0" applyAlignment="1" pivotButton="0" quotePrefix="0" xfId="0">
      <alignment vertical="bottom"/>
    </xf>
    <xf numFmtId="0" fontId="13" fillId="2" borderId="6" applyAlignment="1" pivotButton="0" quotePrefix="0" xfId="0">
      <alignment vertical="top"/>
    </xf>
    <xf numFmtId="0" fontId="8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center" vertical="bottom"/>
    </xf>
    <xf numFmtId="0" fontId="51" fillId="0" borderId="1" pivotButton="0" quotePrefix="0" xfId="0"/>
    <xf numFmtId="0" fontId="13" fillId="0" borderId="0" applyAlignment="1" pivotButton="0" quotePrefix="0" xfId="0">
      <alignment vertical="bottom"/>
    </xf>
    <xf numFmtId="0" fontId="15" fillId="0" borderId="7" applyAlignment="1" pivotButton="0" quotePrefix="0" xfId="0">
      <alignment vertical="top"/>
    </xf>
    <xf numFmtId="0" fontId="13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41" fillId="0" borderId="6" applyAlignment="1" pivotButton="0" quotePrefix="0" xfId="0">
      <alignment horizontal="center" vertical="top"/>
    </xf>
    <xf numFmtId="0" fontId="52" fillId="10" borderId="0" applyAlignment="1" pivotButton="0" quotePrefix="0" xfId="0">
      <alignment horizontal="center"/>
    </xf>
    <xf numFmtId="0" fontId="46" fillId="18" borderId="1" applyAlignment="1" pivotButton="0" quotePrefix="0" xfId="0">
      <alignment horizontal="center" vertical="top"/>
    </xf>
    <xf numFmtId="0" fontId="53" fillId="0" borderId="1" pivotButton="0" quotePrefix="0" xfId="0"/>
    <xf numFmtId="0" fontId="53" fillId="0" borderId="1" applyAlignment="1" pivotButton="0" quotePrefix="0" xfId="0">
      <alignment horizontal="center"/>
    </xf>
    <xf numFmtId="0" fontId="33" fillId="0" borderId="1" pivotButton="0" quotePrefix="0" xfId="0"/>
    <xf numFmtId="0" fontId="53" fillId="0" borderId="1" pivotButton="0" quotePrefix="0" xfId="0"/>
    <xf numFmtId="0" fontId="53" fillId="0" borderId="1" applyAlignment="1" pivotButton="0" quotePrefix="0" xfId="0">
      <alignment horizontal="center"/>
    </xf>
    <xf numFmtId="0" fontId="33" fillId="0" borderId="1" pivotButton="0" quotePrefix="0" xfId="0"/>
    <xf numFmtId="169" fontId="53" fillId="0" borderId="1" applyAlignment="1" pivotButton="0" quotePrefix="0" xfId="0">
      <alignment horizontal="center"/>
    </xf>
    <xf numFmtId="0" fontId="15" fillId="2" borderId="6" applyAlignment="1" pivotButton="0" quotePrefix="0" xfId="0">
      <alignment horizontal="center" vertical="top"/>
    </xf>
    <xf numFmtId="0" fontId="43" fillId="18" borderId="1" applyAlignment="1" pivotButton="0" quotePrefix="0" xfId="0">
      <alignment horizontal="center" vertical="bottom"/>
    </xf>
    <xf numFmtId="0" fontId="1" fillId="18" borderId="1" applyAlignment="1" pivotButton="0" quotePrefix="0" xfId="0">
      <alignment vertical="bottom"/>
    </xf>
    <xf numFmtId="0" fontId="1" fillId="11" borderId="1" applyAlignment="1" pivotButton="0" quotePrefix="0" xfId="0">
      <alignment vertical="bottom"/>
    </xf>
    <xf numFmtId="0" fontId="43" fillId="11" borderId="1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bottom"/>
    </xf>
    <xf numFmtId="0" fontId="7" fillId="2" borderId="6" applyAlignment="1" pivotButton="0" quotePrefix="0" xfId="0">
      <alignment horizontal="center" vertical="bottom"/>
    </xf>
    <xf numFmtId="0" fontId="13" fillId="0" borderId="1" applyAlignment="1" pivotButton="0" quotePrefix="0" xfId="0">
      <alignment horizontal="left" vertical="bottom"/>
    </xf>
    <xf numFmtId="0" fontId="44" fillId="18" borderId="1" applyAlignment="1" pivotButton="0" quotePrefix="0" xfId="0">
      <alignment horizontal="center" vertical="bottom"/>
    </xf>
    <xf numFmtId="0" fontId="44" fillId="18" borderId="1" applyAlignment="1" pivotButton="0" quotePrefix="0" xfId="0">
      <alignment horizontal="center" vertical="bottom"/>
    </xf>
    <xf numFmtId="0" fontId="43" fillId="2" borderId="0" applyAlignment="1" pivotButton="0" quotePrefix="0" xfId="0">
      <alignment horizontal="center" vertical="bottom"/>
    </xf>
    <xf numFmtId="0" fontId="43" fillId="2" borderId="0" applyAlignment="1" pivotButton="0" quotePrefix="0" xfId="0">
      <alignment horizontal="center" vertical="bottom"/>
    </xf>
    <xf numFmtId="0" fontId="13" fillId="2" borderId="0" applyAlignment="1" pivotButton="0" quotePrefix="0" xfId="0">
      <alignment vertical="bottom"/>
    </xf>
    <xf numFmtId="0" fontId="13" fillId="2" borderId="0" applyAlignment="1" pivotButton="0" quotePrefix="0" xfId="0">
      <alignment horizontal="right" vertical="bottom"/>
    </xf>
    <xf numFmtId="0" fontId="13" fillId="2" borderId="0" applyAlignment="1" pivotButton="0" quotePrefix="0" xfId="0">
      <alignment vertical="bottom"/>
    </xf>
    <xf numFmtId="0" fontId="13" fillId="2" borderId="0" applyAlignment="1" pivotButton="0" quotePrefix="0" xfId="0">
      <alignment horizontal="right" vertical="bottom"/>
    </xf>
    <xf numFmtId="0" fontId="54" fillId="4" borderId="1" applyAlignment="1" pivotButton="0" quotePrefix="0" xfId="0">
      <alignment vertical="bottom"/>
    </xf>
    <xf numFmtId="0" fontId="11" fillId="2" borderId="0" applyAlignment="1" pivotButton="0" quotePrefix="0" xfId="0">
      <alignment horizontal="center"/>
    </xf>
    <xf numFmtId="0" fontId="54" fillId="2" borderId="0" applyAlignment="1" pivotButton="0" quotePrefix="0" xfId="0">
      <alignment horizontal="center"/>
    </xf>
    <xf numFmtId="0" fontId="8" fillId="2" borderId="0" pivotButton="0" quotePrefix="0" xfId="0"/>
    <xf numFmtId="0" fontId="40" fillId="0" borderId="1" applyAlignment="1" pivotButton="0" quotePrefix="0" xfId="0">
      <alignment vertical="bottom"/>
    </xf>
    <xf numFmtId="0" fontId="10" fillId="2" borderId="0" pivotButton="0" quotePrefix="0" xfId="0"/>
    <xf numFmtId="0" fontId="10" fillId="2" borderId="0" applyAlignment="1" pivotButton="0" quotePrefix="0" xfId="0">
      <alignment horizontal="right"/>
    </xf>
    <xf numFmtId="0" fontId="7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0" fillId="2" borderId="0" pivotButton="0" quotePrefix="0" xfId="0"/>
    <xf numFmtId="0" fontId="1" fillId="0" borderId="7" applyAlignment="1" pivotButton="0" quotePrefix="0" xfId="0">
      <alignment vertical="bottom"/>
    </xf>
    <xf numFmtId="0" fontId="14" fillId="2" borderId="0" applyAlignment="1" pivotButton="0" quotePrefix="0" xfId="0">
      <alignment vertical="bottom"/>
    </xf>
    <xf numFmtId="0" fontId="10" fillId="0" borderId="1" pivotButton="0" quotePrefix="0" xfId="0"/>
    <xf numFmtId="0" fontId="11" fillId="6" borderId="0" pivotButton="0" quotePrefix="0" xfId="0"/>
    <xf numFmtId="0" fontId="10" fillId="0" borderId="0" pivotButton="0" quotePrefix="0" xfId="0"/>
    <xf numFmtId="0" fontId="54" fillId="4" borderId="1" applyAlignment="1" pivotButton="0" quotePrefix="0" xfId="0">
      <alignment horizontal="center"/>
    </xf>
    <xf numFmtId="0" fontId="40" fillId="18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54" fillId="2" borderId="0" applyAlignment="1" pivotButton="0" quotePrefix="0" xfId="0">
      <alignment vertical="bottom"/>
    </xf>
    <xf numFmtId="0" fontId="40" fillId="2" borderId="0" applyAlignment="1" pivotButton="0" quotePrefix="0" xfId="0">
      <alignment vertical="bottom"/>
    </xf>
    <xf numFmtId="0" fontId="7" fillId="2" borderId="0" applyAlignment="1" pivotButton="0" quotePrefix="0" xfId="0">
      <alignment vertical="bottom"/>
    </xf>
    <xf numFmtId="0" fontId="7" fillId="0" borderId="1" applyAlignment="1" pivotButton="0" quotePrefix="0" xfId="0">
      <alignment horizontal="right"/>
    </xf>
    <xf numFmtId="0" fontId="13" fillId="0" borderId="6" applyAlignment="1" pivotButton="0" quotePrefix="0" xfId="0">
      <alignment vertical="top"/>
    </xf>
    <xf numFmtId="169" fontId="41" fillId="0" borderId="6" applyAlignment="1" pivotButton="0" quotePrefix="0" xfId="0">
      <alignment horizontal="center" vertical="top"/>
    </xf>
    <xf numFmtId="0" fontId="10" fillId="0" borderId="0" pivotButton="0" quotePrefix="0" xfId="0"/>
    <xf numFmtId="0" fontId="14" fillId="2" borderId="6" applyAlignment="1" pivotButton="0" quotePrefix="0" xfId="0">
      <alignment horizontal="center" vertical="bottom"/>
    </xf>
    <xf numFmtId="0" fontId="40" fillId="18" borderId="3" applyAlignment="1" pivotButton="0" quotePrefix="0" xfId="0">
      <alignment horizontal="center" vertical="bottom"/>
    </xf>
    <xf numFmtId="0" fontId="7" fillId="0" borderId="6" applyAlignment="1" pivotButton="0" quotePrefix="0" xfId="0">
      <alignment vertical="bottom"/>
    </xf>
    <xf numFmtId="0" fontId="7" fillId="0" borderId="6" applyAlignment="1" pivotButton="0" quotePrefix="0" xfId="0">
      <alignment horizontal="right" vertical="bottom"/>
    </xf>
    <xf numFmtId="0" fontId="40" fillId="18" borderId="7" applyAlignment="1" pivotButton="0" quotePrefix="0" xfId="0">
      <alignment horizontal="center" vertical="top"/>
    </xf>
    <xf numFmtId="0" fontId="40" fillId="18" borderId="6" applyAlignment="1" pivotButton="0" quotePrefix="0" xfId="0">
      <alignment horizontal="center" vertical="top"/>
    </xf>
    <xf numFmtId="0" fontId="11" fillId="18" borderId="1" applyAlignment="1" pivotButton="0" quotePrefix="0" xfId="0">
      <alignment horizontal="center"/>
    </xf>
    <xf numFmtId="0" fontId="10" fillId="0" borderId="1" applyAlignment="1" pivotButton="0" quotePrefix="0" xfId="0">
      <alignment horizontal="right"/>
    </xf>
    <xf numFmtId="0" fontId="14" fillId="0" borderId="5" applyAlignment="1" pivotButton="0" quotePrefix="0" xfId="0">
      <alignment vertical="bottom"/>
    </xf>
    <xf numFmtId="0" fontId="14" fillId="0" borderId="17" applyAlignment="1" pivotButton="0" quotePrefix="0" xfId="0">
      <alignment vertical="bottom"/>
    </xf>
    <xf numFmtId="0" fontId="55" fillId="12" borderId="5" applyAlignment="1" pivotButton="0" quotePrefix="0" xfId="0">
      <alignment horizontal="center" vertical="bottom"/>
    </xf>
    <xf numFmtId="0" fontId="15" fillId="0" borderId="7" applyAlignment="1" pivotButton="0" quotePrefix="0" xfId="0">
      <alignment vertical="bottom"/>
    </xf>
    <xf numFmtId="0" fontId="15" fillId="0" borderId="6" applyAlignment="1" pivotButton="0" quotePrefix="0" xfId="0">
      <alignment horizontal="center" vertical="bottom"/>
    </xf>
    <xf numFmtId="0" fontId="13" fillId="0" borderId="3" applyAlignment="1" pivotButton="0" quotePrefix="0" xfId="0">
      <alignment vertical="bottom"/>
    </xf>
    <xf numFmtId="0" fontId="13" fillId="0" borderId="3" applyAlignment="1" pivotButton="0" quotePrefix="0" xfId="0">
      <alignment horizontal="right" vertical="bottom"/>
    </xf>
    <xf numFmtId="0" fontId="13" fillId="0" borderId="3" applyAlignment="1" pivotButton="0" quotePrefix="0" xfId="0">
      <alignment vertical="bottom"/>
    </xf>
    <xf numFmtId="0" fontId="14" fillId="0" borderId="6" applyAlignment="1" pivotButton="0" quotePrefix="0" xfId="0">
      <alignment vertical="bottom"/>
    </xf>
    <xf numFmtId="0" fontId="13" fillId="0" borderId="6" applyAlignment="1" pivotButton="0" quotePrefix="0" xfId="0">
      <alignment horizontal="right" vertical="bottom"/>
    </xf>
    <xf numFmtId="0" fontId="13" fillId="0" borderId="1" applyAlignment="1" pivotButton="0" quotePrefix="0" xfId="0">
      <alignment horizontal="right" vertical="bottom"/>
    </xf>
    <xf numFmtId="0" fontId="10" fillId="4" borderId="0" pivotButton="0" quotePrefix="0" xfId="0"/>
    <xf numFmtId="0" fontId="13" fillId="0" borderId="3" applyAlignment="1" pivotButton="0" quotePrefix="0" xfId="0">
      <alignment vertical="top"/>
    </xf>
    <xf numFmtId="0" fontId="15" fillId="0" borderId="3" applyAlignment="1" pivotButton="0" quotePrefix="0" xfId="0">
      <alignment horizontal="center" vertical="bottom"/>
    </xf>
    <xf numFmtId="0" fontId="14" fillId="0" borderId="3" applyAlignment="1" pivotButton="0" quotePrefix="0" xfId="0">
      <alignment vertical="bottom"/>
    </xf>
    <xf numFmtId="0" fontId="54" fillId="5" borderId="1" pivotButton="0" quotePrefix="0" xfId="0"/>
    <xf numFmtId="0" fontId="40" fillId="18" borderId="2" applyAlignment="1" pivotButton="0" quotePrefix="0" xfId="0">
      <alignment horizontal="center"/>
    </xf>
    <xf numFmtId="0" fontId="39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6" fillId="0" borderId="0" applyAlignment="1" pivotButton="0" quotePrefix="0" xfId="0">
      <alignment horizontal="center"/>
    </xf>
    <xf numFmtId="0" fontId="7" fillId="6" borderId="0" pivotButton="0" quotePrefix="0" xfId="0"/>
    <xf numFmtId="0" fontId="7" fillId="0" borderId="0" pivotButton="0" quotePrefix="0" xfId="0"/>
    <xf numFmtId="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left"/>
    </xf>
    <xf numFmtId="0" fontId="7" fillId="6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7" fillId="2" borderId="0" applyAlignment="1" pivotButton="0" quotePrefix="0" xfId="0">
      <alignment vertical="bottom"/>
    </xf>
    <xf numFmtId="0" fontId="11" fillId="0" borderId="0" pivotButton="0" quotePrefix="0" xfId="0"/>
    <xf numFmtId="0" fontId="13" fillId="0" borderId="0" applyAlignment="1" pivotButton="0" quotePrefix="0" xfId="0">
      <alignment vertical="bottom"/>
    </xf>
    <xf numFmtId="0" fontId="40" fillId="6" borderId="1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38" fillId="14" borderId="18" applyAlignment="1" pivotButton="0" quotePrefix="0" xfId="0">
      <alignment horizontal="center" vertical="bottom"/>
    </xf>
    <xf numFmtId="0" fontId="5" fillId="0" borderId="19" pivotButton="0" quotePrefix="0" xfId="0"/>
    <xf numFmtId="0" fontId="5" fillId="0" borderId="20" pivotButton="0" quotePrefix="0" xfId="0"/>
    <xf numFmtId="0" fontId="38" fillId="14" borderId="0" applyAlignment="1" pivotButton="0" quotePrefix="0" xfId="0">
      <alignment horizontal="center" vertical="bottom"/>
    </xf>
    <xf numFmtId="0" fontId="38" fillId="4" borderId="12" applyAlignment="1" pivotButton="0" quotePrefix="0" xfId="0">
      <alignment horizontal="center" vertical="bottom"/>
    </xf>
    <xf numFmtId="0" fontId="38" fillId="4" borderId="0" applyAlignment="1" pivotButton="0" quotePrefix="0" xfId="0">
      <alignment horizontal="center" vertical="bottom"/>
    </xf>
    <xf numFmtId="0" fontId="38" fillId="4" borderId="17" applyAlignment="1" pivotButton="0" quotePrefix="0" xfId="0">
      <alignment horizontal="center" vertical="bottom"/>
    </xf>
    <xf numFmtId="0" fontId="38" fillId="4" borderId="0" applyAlignment="1" pivotButton="0" quotePrefix="0" xfId="0">
      <alignment horizontal="center" vertical="bottom"/>
    </xf>
    <xf numFmtId="0" fontId="38" fillId="0" borderId="18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/>
    </xf>
    <xf numFmtId="0" fontId="57" fillId="0" borderId="19" applyAlignment="1" pivotButton="0" quotePrefix="0" xfId="0">
      <alignment horizontal="center" vertical="bottom"/>
    </xf>
    <xf numFmtId="0" fontId="1" fillId="0" borderId="20" applyAlignment="1" pivotButton="0" quotePrefix="0" xfId="0">
      <alignment vertical="bottom"/>
    </xf>
    <xf numFmtId="0" fontId="38" fillId="0" borderId="18" applyAlignment="1" pivotButton="0" quotePrefix="0" xfId="0">
      <alignment horizontal="center" vertical="bottom"/>
    </xf>
    <xf numFmtId="0" fontId="57" fillId="0" borderId="19" applyAlignment="1" pivotButton="0" quotePrefix="0" xfId="0">
      <alignment horizontal="center" vertical="bottom"/>
    </xf>
    <xf numFmtId="0" fontId="1" fillId="0" borderId="12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bottom"/>
    </xf>
    <xf numFmtId="0" fontId="1" fillId="0" borderId="17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1" fillId="0" borderId="8" applyAlignment="1" pivotButton="0" quotePrefix="0" xfId="0">
      <alignment horizontal="center" vertical="bottom"/>
    </xf>
    <xf numFmtId="0" fontId="1" fillId="0" borderId="5" applyAlignment="1" pivotButton="0" quotePrefix="0" xfId="0">
      <alignment horizontal="center" vertical="bottom"/>
    </xf>
    <xf numFmtId="0" fontId="7" fillId="6" borderId="0" pivotButton="0" quotePrefix="0" xfId="0"/>
    <xf numFmtId="0" fontId="10" fillId="6" borderId="0" pivotButton="0" quotePrefix="0" xfId="0"/>
    <xf numFmtId="0" fontId="38" fillId="0" borderId="19" applyAlignment="1" pivotButton="0" quotePrefix="0" xfId="0">
      <alignment horizontal="center" vertical="bottom"/>
    </xf>
    <xf numFmtId="0" fontId="38" fillId="0" borderId="19" applyAlignment="1" pivotButton="0" quotePrefix="0" xfId="0">
      <alignment horizontal="center" vertical="bottom"/>
    </xf>
    <xf numFmtId="0" fontId="14" fillId="0" borderId="20" applyAlignment="1" pivotButton="0" quotePrefix="0" xfId="0">
      <alignment vertical="bottom"/>
    </xf>
    <xf numFmtId="0" fontId="8" fillId="6" borderId="0" pivotButton="0" quotePrefix="0" xfId="0"/>
    <xf numFmtId="0" fontId="1" fillId="0" borderId="19" applyAlignment="1" pivotButton="0" quotePrefix="0" xfId="0">
      <alignment vertical="bottom"/>
    </xf>
    <xf numFmtId="0" fontId="26" fillId="0" borderId="20" applyAlignment="1" pivotButton="0" quotePrefix="0" xfId="0">
      <alignment vertical="bottom"/>
    </xf>
    <xf numFmtId="0" fontId="14" fillId="0" borderId="17" applyAlignment="1" pivotButton="0" quotePrefix="0" xfId="0">
      <alignment vertical="bottom"/>
    </xf>
    <xf numFmtId="0" fontId="1" fillId="0" borderId="12" applyAlignment="1" pivotButton="0" quotePrefix="0" xfId="0">
      <alignment horizontal="center" vertical="bottom"/>
    </xf>
    <xf numFmtId="0" fontId="14" fillId="0" borderId="17" applyAlignment="1" pivotButton="0" quotePrefix="0" xfId="0">
      <alignment vertical="bottom"/>
    </xf>
    <xf numFmtId="0" fontId="1" fillId="0" borderId="17" applyAlignment="1" pivotButton="0" quotePrefix="0" xfId="0">
      <alignment horizontal="left" vertical="bottom"/>
    </xf>
    <xf numFmtId="0" fontId="1" fillId="0" borderId="5" applyAlignment="1" pivotButton="0" quotePrefix="0" xfId="0">
      <alignment vertical="bottom"/>
    </xf>
    <xf numFmtId="0" fontId="54" fillId="6" borderId="1" pivotButton="0" quotePrefix="0" xfId="0"/>
    <xf numFmtId="0" fontId="54" fillId="6" borderId="11" pivotButton="0" quotePrefix="0" xfId="0"/>
    <xf numFmtId="0" fontId="54" fillId="5" borderId="11" pivotButton="0" quotePrefix="0" xfId="0"/>
    <xf numFmtId="0" fontId="40" fillId="18" borderId="3" applyAlignment="1" pivotButton="0" quotePrefix="0" xfId="0">
      <alignment horizontal="center" vertical="bottom"/>
    </xf>
    <xf numFmtId="0" fontId="15" fillId="0" borderId="6" applyAlignment="1" pivotButton="0" quotePrefix="0" xfId="0">
      <alignment vertical="bottom"/>
    </xf>
    <xf numFmtId="0" fontId="38" fillId="0" borderId="12" applyAlignment="1" pivotButton="0" quotePrefix="0" xfId="0">
      <alignment horizontal="center" vertical="bottom"/>
    </xf>
    <xf numFmtId="0" fontId="38" fillId="0" borderId="0" applyAlignment="1" pivotButton="0" quotePrefix="0" xfId="0">
      <alignment horizontal="center" vertical="bottom"/>
    </xf>
    <xf numFmtId="0" fontId="14" fillId="0" borderId="12" applyAlignment="1" pivotButton="0" quotePrefix="0" xfId="0">
      <alignment vertical="bottom"/>
    </xf>
    <xf numFmtId="0" fontId="38" fillId="6" borderId="12" applyAlignment="1" pivotButton="0" quotePrefix="0" xfId="0">
      <alignment vertical="bottom"/>
    </xf>
    <xf numFmtId="0" fontId="1" fillId="0" borderId="8" applyAlignment="1" pivotButton="0" quotePrefix="0" xfId="0">
      <alignment vertical="bottom"/>
    </xf>
    <xf numFmtId="0" fontId="40" fillId="18" borderId="6" applyAlignment="1" pivotButton="0" quotePrefix="0" xfId="0">
      <alignment horizontal="center" vertical="bottom"/>
    </xf>
    <xf numFmtId="0" fontId="58" fillId="6" borderId="18" applyAlignment="1" pivotButton="0" quotePrefix="0" xfId="0">
      <alignment horizontal="center" vertical="bottom"/>
    </xf>
    <xf numFmtId="0" fontId="58" fillId="6" borderId="19" applyAlignment="1" pivotButton="0" quotePrefix="0" xfId="0">
      <alignment horizontal="center" vertical="bottom"/>
    </xf>
    <xf numFmtId="0" fontId="1" fillId="6" borderId="20" applyAlignment="1" pivotButton="0" quotePrefix="0" xfId="0">
      <alignment vertical="bottom"/>
    </xf>
    <xf numFmtId="0" fontId="15" fillId="0" borderId="6" applyAlignment="1" pivotButton="0" quotePrefix="0" xfId="0">
      <alignment vertical="bottom"/>
    </xf>
    <xf numFmtId="0" fontId="58" fillId="0" borderId="18" applyAlignment="1" pivotButton="0" quotePrefix="0" xfId="0">
      <alignment horizontal="center" vertical="bottom"/>
    </xf>
    <xf numFmtId="0" fontId="1" fillId="0" borderId="1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8" fillId="0" borderId="12" pivotButton="0" quotePrefix="0" xfId="0"/>
    <xf numFmtId="0" fontId="8" fillId="0" borderId="17" pivotButton="0" quotePrefix="0" xfId="0"/>
    <xf numFmtId="0" fontId="1" fillId="0" borderId="12" applyAlignment="1" pivotButton="0" quotePrefix="0" xfId="0">
      <alignment vertical="bottom"/>
    </xf>
    <xf numFmtId="0" fontId="58" fillId="0" borderId="12" applyAlignment="1" pivotButton="0" quotePrefix="0" xfId="0">
      <alignment horizontal="center"/>
    </xf>
    <xf numFmtId="0" fontId="8" fillId="0" borderId="17" pivotButton="0" quotePrefix="0" xfId="0"/>
    <xf numFmtId="0" fontId="8" fillId="0" borderId="8" pivotButton="0" quotePrefix="0" xfId="0"/>
    <xf numFmtId="0" fontId="8" fillId="0" borderId="5" pivotButton="0" quotePrefix="0" xfId="0"/>
    <xf numFmtId="0" fontId="8" fillId="0" borderId="6" pivotButton="0" quotePrefix="0" xfId="0"/>
    <xf numFmtId="0" fontId="8" fillId="0" borderId="6" pivotButton="0" quotePrefix="0" xfId="0"/>
    <xf numFmtId="0" fontId="38" fillId="19" borderId="8" applyAlignment="1" pivotButton="0" quotePrefix="0" xfId="0">
      <alignment horizontal="center" vertical="bottom"/>
    </xf>
    <xf numFmtId="0" fontId="1" fillId="0" borderId="1" applyAlignment="1" pivotButton="0" quotePrefix="0" xfId="0">
      <alignment vertical="bottom"/>
    </xf>
    <xf numFmtId="0" fontId="15" fillId="0" borderId="1" applyAlignment="1" pivotButton="0" quotePrefix="0" xfId="0">
      <alignment vertical="bottom"/>
    </xf>
    <xf numFmtId="0" fontId="40" fillId="6" borderId="0" applyAlignment="1" pivotButton="0" quotePrefix="0" xfId="0">
      <alignment horizontal="center" vertical="bottom"/>
    </xf>
    <xf numFmtId="0" fontId="40" fillId="6" borderId="0" applyAlignment="1" pivotButton="0" quotePrefix="0" xfId="0">
      <alignment horizontal="center" vertical="bottom"/>
    </xf>
    <xf numFmtId="0" fontId="15" fillId="6" borderId="0" applyAlignment="1" pivotButton="0" quotePrefix="0" xfId="0">
      <alignment vertical="bottom"/>
    </xf>
    <xf numFmtId="0" fontId="15" fillId="6" borderId="0" applyAlignment="1" pivotButton="0" quotePrefix="0" xfId="0">
      <alignment horizontal="center" vertical="bottom"/>
    </xf>
    <xf numFmtId="0" fontId="15" fillId="6" borderId="0" applyAlignment="1" pivotButton="0" quotePrefix="0" xfId="0">
      <alignment vertical="bottom"/>
    </xf>
    <xf numFmtId="0" fontId="1" fillId="6" borderId="0" applyAlignment="1" pivotButton="0" quotePrefix="0" xfId="0">
      <alignment vertical="bottom"/>
    </xf>
    <xf numFmtId="0" fontId="1" fillId="6" borderId="0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7" fillId="2" borderId="0" pivotButton="0" quotePrefix="0" xfId="0"/>
    <xf numFmtId="0" fontId="7" fillId="2" borderId="0" pivotButton="0" quotePrefix="0" xfId="0"/>
    <xf numFmtId="0" fontId="7" fillId="2" borderId="0" applyAlignment="1" pivotButton="0" quotePrefix="0" xfId="0">
      <alignment horizontal="right"/>
    </xf>
    <xf numFmtId="0" fontId="40" fillId="2" borderId="0" applyAlignment="1" pivotButton="0" quotePrefix="0" xfId="0">
      <alignment horizontal="center" vertical="bottom"/>
    </xf>
    <xf numFmtId="0" fontId="15" fillId="2" borderId="0" applyAlignment="1" pivotButton="0" quotePrefix="0" xfId="0">
      <alignment vertical="bottom"/>
    </xf>
    <xf numFmtId="0" fontId="15" fillId="2" borderId="0" applyAlignment="1" pivotButton="0" quotePrefix="0" xfId="0">
      <alignment horizontal="center" vertical="bottom"/>
    </xf>
    <xf numFmtId="0" fontId="59" fillId="0" borderId="0" applyAlignment="1" pivotButton="0" quotePrefix="0" xfId="0">
      <alignment horizontal="center"/>
    </xf>
    <xf numFmtId="0" fontId="60" fillId="0" borderId="0" applyAlignment="1" pivotButton="0" quotePrefix="0" xfId="0">
      <alignment horizontal="center"/>
    </xf>
    <xf numFmtId="0" fontId="8" fillId="0" borderId="17" applyAlignment="1" pivotButton="0" quotePrefix="0" xfId="0">
      <alignment horizontal="right" textRotation="90"/>
    </xf>
    <xf numFmtId="0" fontId="8" fillId="0" borderId="0" applyAlignment="1" pivotButton="0" quotePrefix="0" xfId="0">
      <alignment horizontal="left" vertical="center" textRotation="90"/>
    </xf>
    <xf numFmtId="0" fontId="5" fillId="0" borderId="17" pivotButton="0" quotePrefix="0" xfId="0"/>
    <xf numFmtId="0" fontId="60" fillId="0" borderId="0" applyAlignment="1" pivotButton="0" quotePrefix="0" xfId="0">
      <alignment horizontal="right" vertical="center" textRotation="90"/>
    </xf>
    <xf numFmtId="0" fontId="60" fillId="0" borderId="0" applyAlignment="1" pivotButton="0" quotePrefix="0" xfId="0">
      <alignment horizontal="left" vertical="center" textRotation="180"/>
    </xf>
    <xf numFmtId="0" fontId="61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17" applyAlignment="1" pivotButton="0" quotePrefix="0" xfId="0">
      <alignment vertical="center" textRotation="180" wrapText="1"/>
    </xf>
    <xf numFmtId="0" fontId="8" fillId="0" borderId="0" applyAlignment="1" pivotButton="0" quotePrefix="0" xfId="0">
      <alignment horizontal="left" vertical="center" textRotation="180"/>
    </xf>
    <xf numFmtId="0" fontId="62" fillId="0" borderId="0" pivotButton="0" quotePrefix="0" xfId="0"/>
    <xf numFmtId="0" fontId="0" fillId="0" borderId="0" pivotButton="0" quotePrefix="0" xfId="0"/>
    <xf numFmtId="0" fontId="3" fillId="3" borderId="1" applyAlignment="1" pivotButton="0" quotePrefix="0" xfId="0">
      <alignment horizontal="center" vertical="bottom" wrapText="1"/>
    </xf>
    <xf numFmtId="0" fontId="0" fillId="0" borderId="4" pivotButton="0" quotePrefix="0" xfId="0"/>
    <xf numFmtId="0" fontId="0" fillId="0" borderId="3" pivotButton="0" quotePrefix="0" xfId="0"/>
    <xf numFmtId="0" fontId="3" fillId="4" borderId="6" applyAlignment="1" pivotButton="0" quotePrefix="0" xfId="0">
      <alignment horizontal="center" vertical="bottom" wrapText="1"/>
    </xf>
    <xf numFmtId="0" fontId="0" fillId="0" borderId="5" pivotButton="0" quotePrefix="0" xfId="0"/>
    <xf numFmtId="0" fontId="0" fillId="0" borderId="6" pivotButton="0" quotePrefix="0" xfId="0"/>
    <xf numFmtId="0" fontId="3" fillId="4" borderId="7" applyAlignment="1" pivotButton="0" quotePrefix="0" xfId="0">
      <alignment horizontal="center" vertical="bottom" wrapText="1"/>
    </xf>
    <xf numFmtId="0" fontId="7" fillId="4" borderId="7" applyAlignment="1" pivotButton="0" quotePrefix="0" xfId="0">
      <alignment horizontal="center" vertical="bottom" wrapText="1"/>
    </xf>
    <xf numFmtId="0" fontId="7" fillId="3" borderId="7" applyAlignment="1" pivotButton="0" quotePrefix="0" xfId="0">
      <alignment horizontal="center" vertical="bottom" wrapText="1"/>
    </xf>
    <xf numFmtId="0" fontId="25" fillId="4" borderId="7" applyAlignment="1" pivotButton="0" quotePrefix="0" xfId="0">
      <alignment horizontal="center" vertical="bottom"/>
    </xf>
    <xf numFmtId="0" fontId="7" fillId="3" borderId="7" applyAlignment="1" pivotButton="0" quotePrefix="0" xfId="0">
      <alignment horizontal="center" vertical="bottom"/>
    </xf>
    <xf numFmtId="0" fontId="25" fillId="4" borderId="6" applyAlignment="1" pivotButton="0" quotePrefix="0" xfId="0">
      <alignment horizontal="center" vertical="bottom"/>
    </xf>
    <xf numFmtId="49" fontId="7" fillId="4" borderId="7" applyAlignment="1" pivotButton="0" quotePrefix="0" xfId="0">
      <alignment horizontal="center" vertical="bottom" wrapText="1"/>
    </xf>
    <xf numFmtId="0" fontId="3" fillId="4" borderId="6" applyAlignment="1" pivotButton="0" quotePrefix="0" xfId="0">
      <alignment horizontal="center" vertical="bottom"/>
    </xf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35" fillId="0" borderId="13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55" fillId="12" borderId="6" applyAlignment="1" pivotButton="0" quotePrefix="0" xfId="0">
      <alignment horizontal="center" vertical="bottom"/>
    </xf>
    <xf numFmtId="0" fontId="38" fillId="14" borderId="11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38" fillId="19" borderId="7" applyAlignment="1" pivotButton="0" quotePrefix="0" xfId="0">
      <alignment horizontal="center" vertical="bottom"/>
    </xf>
    <xf numFmtId="0" fontId="0" fillId="0" borderId="17" pivotButton="0" quotePrefix="0" xfId="0"/>
    <xf numFmtId="0" fontId="61" fillId="0" borderId="6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134"/>
  <sheetViews>
    <sheetView workbookViewId="0">
      <selection activeCell="A1" sqref="A1"/>
    </sheetView>
  </sheetViews>
  <sheetFormatPr baseColWidth="8" defaultColWidth="14.43" defaultRowHeight="15" customHeight="1"/>
  <cols>
    <col width="3.43" customWidth="1" style="552" min="1" max="1"/>
    <col width="60.43" customWidth="1" style="552" min="2" max="2"/>
    <col width="13.71" customWidth="1" style="552" min="3" max="3"/>
    <col width="14.29" customWidth="1" style="552" min="4" max="4"/>
    <col width="13.57" customWidth="1" style="552" min="5" max="5"/>
    <col width="14.29" customWidth="1" style="552" min="6" max="6"/>
    <col width="16.29" customWidth="1" style="552" min="8" max="8"/>
    <col width="8.57" customWidth="1" style="552" min="9" max="9"/>
    <col width="17.14" customWidth="1" style="552" min="17" max="17"/>
  </cols>
  <sheetData>
    <row r="1">
      <c r="A1" s="524" t="n"/>
      <c r="B1" s="2" t="n"/>
      <c r="C1" s="524" t="n"/>
      <c r="D1" s="71" t="n"/>
      <c r="E1" s="71" t="n"/>
      <c r="F1" s="6" t="n"/>
      <c r="G1" s="6" t="n"/>
      <c r="H1" s="6" t="n"/>
      <c r="I1" s="8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</row>
    <row r="2">
      <c r="A2" s="524" t="n"/>
      <c r="B2" s="16" t="inlineStr">
        <is>
          <t xml:space="preserve">НАИМЕНОВНИЕ </t>
        </is>
      </c>
      <c r="C2" s="21" t="inlineStr">
        <is>
          <t>ЦЕНА ЗА ПОРЦИЮ</t>
        </is>
      </c>
      <c r="D2" s="21" t="inlineStr">
        <is>
          <t xml:space="preserve">ЦЕНА СО СКИДКОЙ </t>
        </is>
      </c>
      <c r="E2" s="21" t="inlineStr">
        <is>
          <t>ОБЪЕМ БУТЫЛКИ</t>
        </is>
      </c>
      <c r="F2" s="21" t="inlineStr">
        <is>
          <t xml:space="preserve">ОБЪЕМ ЗА ПОРЦИЮ </t>
        </is>
      </c>
      <c r="G2" s="24" t="inlineStr">
        <is>
          <t>КОЛИЧЕСТВО ПОРЦИЙ В БУТЫЛКЕ</t>
        </is>
      </c>
      <c r="H2" s="24" t="inlineStr">
        <is>
          <t>СЕБЕСТОИМОСТЬ ЗА ПОРЦИЮ</t>
        </is>
      </c>
      <c r="I2" s="26" t="inlineStr">
        <is>
          <t>FC %</t>
        </is>
      </c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</row>
    <row r="3">
      <c r="A3" s="524" t="n"/>
      <c r="B3" s="54" t="n"/>
      <c r="C3" s="112" t="n"/>
      <c r="D3" s="55" t="n"/>
      <c r="E3" s="56" t="n"/>
      <c r="F3" s="56" t="n"/>
      <c r="G3" s="56" t="n"/>
      <c r="H3" s="39" t="n"/>
      <c r="I3" s="39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</row>
    <row r="4">
      <c r="A4" s="524" t="n"/>
      <c r="B4" s="266" t="inlineStr">
        <is>
          <t>GLASS WINE/ВИНА ПО БОКАЛАМ</t>
        </is>
      </c>
      <c r="C4" s="112" t="n"/>
      <c r="D4" s="55" t="n"/>
      <c r="E4" s="56" t="n"/>
      <c r="F4" s="56" t="n"/>
      <c r="G4" s="56" t="n"/>
      <c r="H4" s="39" t="n"/>
      <c r="I4" s="39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</row>
    <row r="5">
      <c r="A5" s="524" t="n"/>
      <c r="B5" s="266" t="n"/>
      <c r="C5" s="112" t="n"/>
      <c r="D5" s="55" t="n"/>
      <c r="E5" s="56" t="n"/>
      <c r="F5" s="56" t="n"/>
      <c r="G5" s="56" t="n"/>
      <c r="H5" s="39" t="n"/>
      <c r="I5" s="39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  <row r="6">
      <c r="A6" s="524" t="n"/>
      <c r="B6" s="266" t="inlineStr">
        <is>
          <t xml:space="preserve">SPARKLING WINE/ИГРИСТЫЕ ВИНА 150 ml </t>
        </is>
      </c>
      <c r="C6" s="112" t="n"/>
      <c r="D6" s="55" t="n"/>
      <c r="E6" s="56" t="n"/>
      <c r="F6" s="56" t="n"/>
      <c r="G6" s="56" t="n"/>
      <c r="H6" s="39" t="n"/>
      <c r="I6" s="39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</row>
    <row r="7">
      <c r="A7" s="524" t="n"/>
      <c r="B7" s="54" t="inlineStr">
        <is>
          <t>PROSECCO, CASA DEFRA</t>
        </is>
      </c>
      <c r="C7" s="112" t="n">
        <v>398.5</v>
      </c>
      <c r="D7" s="55" t="n">
        <v>411.5</v>
      </c>
      <c r="E7" s="56" t="n">
        <v>750</v>
      </c>
      <c r="F7" s="56" t="n">
        <v>150</v>
      </c>
      <c r="G7" s="56" t="n">
        <v>5</v>
      </c>
      <c r="H7" s="39">
        <f>D7/G7</f>
        <v/>
      </c>
      <c r="I7" s="39">
        <f>H7/C7*100</f>
        <v/>
      </c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</row>
    <row r="8">
      <c r="A8" s="524" t="n"/>
      <c r="B8" s="54" t="inlineStr">
        <is>
          <t>MARTINI PROSECCO D.O.C.</t>
        </is>
      </c>
      <c r="C8" s="112" t="n">
        <v>435.5</v>
      </c>
      <c r="D8" s="55" t="n">
        <v>448.5</v>
      </c>
      <c r="E8" s="56" t="n">
        <v>750</v>
      </c>
      <c r="F8" s="56" t="n">
        <v>150</v>
      </c>
      <c r="G8" s="56" t="n">
        <v>5</v>
      </c>
      <c r="H8" s="39">
        <f>D8/G8</f>
        <v/>
      </c>
      <c r="I8" s="39">
        <f>H8/C8*100</f>
        <v/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</row>
    <row r="9">
      <c r="A9" s="524" t="n"/>
      <c r="B9" s="54" t="inlineStr">
        <is>
          <t>MARTINI PROSECCO ROSE</t>
        </is>
      </c>
      <c r="C9" s="112" t="n">
        <v>472.5</v>
      </c>
      <c r="D9" s="55" t="n">
        <v>485.5</v>
      </c>
      <c r="E9" s="56" t="n">
        <v>750</v>
      </c>
      <c r="F9" s="56" t="n">
        <v>150</v>
      </c>
      <c r="G9" s="56" t="n">
        <v>5</v>
      </c>
      <c r="H9" s="39">
        <f>D9/G9</f>
        <v/>
      </c>
      <c r="I9" s="39">
        <f>H9/C9*100</f>
        <v/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</row>
    <row r="10">
      <c r="A10" s="524" t="n"/>
      <c r="B10" s="54" t="n"/>
      <c r="C10" s="112" t="n"/>
      <c r="D10" s="55" t="n"/>
      <c r="E10" s="56" t="n"/>
      <c r="F10" s="56" t="n"/>
      <c r="G10" s="56" t="n"/>
      <c r="H10" s="39" t="n"/>
      <c r="I10" s="39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</row>
    <row r="11">
      <c r="A11" s="524" t="n"/>
      <c r="B11" s="266" t="inlineStr">
        <is>
          <t xml:space="preserve">WHITE WINE/БЕЛЫЕ ВИНА 150 ml </t>
        </is>
      </c>
      <c r="C11" s="112" t="n"/>
      <c r="D11" s="55" t="n"/>
      <c r="E11" s="56" t="n"/>
      <c r="F11" s="56" t="n"/>
      <c r="G11" s="56" t="n"/>
      <c r="H11" s="39" t="n"/>
      <c r="I11" s="39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</row>
    <row r="12">
      <c r="A12" s="524" t="n"/>
      <c r="B12" s="54" t="inlineStr">
        <is>
          <t>FANTINEL BORGO TESIS PINOT GRIGIO</t>
        </is>
      </c>
      <c r="C12" s="112" t="n">
        <v>583.5</v>
      </c>
      <c r="D12" s="55" t="n">
        <v>596.5</v>
      </c>
      <c r="E12" s="56" t="n">
        <v>750</v>
      </c>
      <c r="F12" s="56" t="n">
        <v>150</v>
      </c>
      <c r="G12" s="56" t="n">
        <v>5</v>
      </c>
      <c r="H12" s="39">
        <f>D12/G12</f>
        <v/>
      </c>
      <c r="I12" s="39">
        <f>H12/C12*100</f>
        <v/>
      </c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</row>
    <row r="13">
      <c r="A13" s="524" t="n"/>
      <c r="B13" s="54" t="inlineStr">
        <is>
          <t>KRIS CHARDONNAY</t>
        </is>
      </c>
      <c r="C13" s="112" t="n">
        <v>620.5</v>
      </c>
      <c r="D13" s="55" t="n">
        <v>633.5</v>
      </c>
      <c r="E13" s="56" t="n">
        <v>750</v>
      </c>
      <c r="F13" s="56" t="n">
        <v>150</v>
      </c>
      <c r="G13" s="56" t="n">
        <v>5</v>
      </c>
      <c r="H13" s="39">
        <f>D13/G13</f>
        <v/>
      </c>
      <c r="I13" s="39">
        <f>H13/C13*100</f>
        <v/>
      </c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</row>
    <row r="14">
      <c r="A14" s="524" t="n"/>
      <c r="B14" s="54" t="inlineStr">
        <is>
          <t>URBAN RIESLING, NIK WEIS</t>
        </is>
      </c>
      <c r="C14" s="112" t="n">
        <v>657.5</v>
      </c>
      <c r="D14" s="55" t="n">
        <v>670.5</v>
      </c>
      <c r="E14" s="56" t="n">
        <v>750</v>
      </c>
      <c r="F14" s="56" t="n">
        <v>150</v>
      </c>
      <c r="G14" s="56" t="n">
        <v>5</v>
      </c>
      <c r="H14" s="39">
        <f>D14/G14</f>
        <v/>
      </c>
      <c r="I14" s="39">
        <f>H14/C14*100</f>
        <v/>
      </c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</row>
    <row r="15">
      <c r="A15" s="524" t="n"/>
      <c r="B15" s="54" t="inlineStr">
        <is>
          <t xml:space="preserve">THE NED SAUVIGNON BLANC </t>
        </is>
      </c>
      <c r="C15" s="112" t="n">
        <v>694.5</v>
      </c>
      <c r="D15" s="55" t="n">
        <v>707.5</v>
      </c>
      <c r="E15" s="56" t="n">
        <v>750</v>
      </c>
      <c r="F15" s="56" t="n">
        <v>150</v>
      </c>
      <c r="G15" s="56" t="n">
        <v>5</v>
      </c>
      <c r="H15" s="39">
        <f>D15/G15</f>
        <v/>
      </c>
      <c r="I15" s="39">
        <f>H15/C15*100</f>
        <v/>
      </c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</row>
    <row r="16">
      <c r="A16" s="524" t="n"/>
      <c r="B16" s="54" t="n"/>
      <c r="C16" s="112" t="n"/>
      <c r="D16" s="55" t="n"/>
      <c r="E16" s="56" t="n"/>
      <c r="F16" s="56" t="n"/>
      <c r="G16" s="56" t="n"/>
      <c r="H16" s="39" t="n"/>
      <c r="I16" s="39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</row>
    <row r="17">
      <c r="A17" s="524" t="n"/>
      <c r="B17" s="266" t="inlineStr">
        <is>
          <t xml:space="preserve">RED WINE/КРАСНЫЕ ВИНА 150 ml </t>
        </is>
      </c>
      <c r="C17" s="112" t="n"/>
      <c r="D17" s="55" t="n"/>
      <c r="E17" s="56" t="n"/>
      <c r="F17" s="56" t="n"/>
      <c r="G17" s="56" t="n"/>
      <c r="H17" s="39" t="n"/>
      <c r="I17" s="39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</row>
    <row r="18">
      <c r="A18" s="524" t="n"/>
      <c r="B18" s="54" t="inlineStr">
        <is>
          <t>PINOT NOIR, HANS BAER</t>
        </is>
      </c>
      <c r="C18" s="112" t="n">
        <v>805.5</v>
      </c>
      <c r="D18" s="55" t="n">
        <v>818.5</v>
      </c>
      <c r="E18" s="56" t="n">
        <v>750</v>
      </c>
      <c r="F18" s="56" t="n">
        <v>150</v>
      </c>
      <c r="G18" s="56" t="n">
        <v>5</v>
      </c>
      <c r="H18" s="39">
        <f>D18/G18</f>
        <v/>
      </c>
      <c r="I18" s="39">
        <f>H18/C18*100</f>
        <v/>
      </c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</row>
    <row r="19">
      <c r="A19" s="524" t="n"/>
      <c r="B19" s="54" t="inlineStr">
        <is>
          <t>TAMARI MALBEC SPECIAL SELECSION</t>
        </is>
      </c>
      <c r="C19" s="112" t="n">
        <v>842.5</v>
      </c>
      <c r="D19" s="55" t="n">
        <v>855.5</v>
      </c>
      <c r="E19" s="56" t="n">
        <v>750</v>
      </c>
      <c r="F19" s="56" t="n">
        <v>150</v>
      </c>
      <c r="G19" s="56" t="n">
        <v>5</v>
      </c>
      <c r="H19" s="39">
        <f>D19/G19</f>
        <v/>
      </c>
      <c r="I19" s="39">
        <f>H19/C19*100</f>
        <v/>
      </c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</row>
    <row r="20">
      <c r="A20" s="524" t="n"/>
      <c r="B20" s="54" t="inlineStr">
        <is>
          <t>CABERNET SAUVIGNON, SANTA CAROLINA</t>
        </is>
      </c>
      <c r="C20" s="112" t="n">
        <v>879.5</v>
      </c>
      <c r="D20" s="55" t="n">
        <v>892.5</v>
      </c>
      <c r="E20" s="56" t="n">
        <v>750</v>
      </c>
      <c r="F20" s="56" t="n">
        <v>150</v>
      </c>
      <c r="G20" s="56" t="n">
        <v>5</v>
      </c>
      <c r="H20" s="39">
        <f>D20/G20</f>
        <v/>
      </c>
      <c r="I20" s="39">
        <f>H20/C20*100</f>
        <v/>
      </c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</row>
    <row r="21">
      <c r="A21" s="524" t="n"/>
      <c r="B21" s="54" t="n"/>
      <c r="C21" s="112" t="n"/>
      <c r="D21" s="55" t="n"/>
      <c r="E21" s="56" t="n"/>
      <c r="F21" s="56" t="n"/>
      <c r="G21" s="56" t="n"/>
      <c r="H21" s="39" t="n"/>
      <c r="I21" s="39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</row>
    <row r="22">
      <c r="A22" s="524" t="n"/>
      <c r="B22" s="266" t="inlineStr">
        <is>
          <t>BOTTLED WINE/ВИНА ПО БУТЫЛКАМ</t>
        </is>
      </c>
      <c r="C22" s="112" t="n"/>
      <c r="D22" s="55" t="n"/>
      <c r="E22" s="56" t="n"/>
      <c r="F22" s="56" t="n"/>
      <c r="G22" s="56" t="n"/>
      <c r="H22" s="39" t="n"/>
      <c r="I22" s="39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</row>
    <row r="23">
      <c r="A23" s="524" t="n"/>
      <c r="B23" s="54" t="n"/>
      <c r="C23" s="112" t="n"/>
      <c r="D23" s="55" t="n"/>
      <c r="E23" s="56" t="n"/>
      <c r="F23" s="56" t="n"/>
      <c r="G23" s="56" t="n"/>
      <c r="H23" s="39" t="n"/>
      <c r="I23" s="39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</row>
    <row r="24">
      <c r="A24" s="524" t="n"/>
      <c r="B24" s="266" t="inlineStr">
        <is>
          <t>WHITE WINE/БЕЛЫЕ ВИНА</t>
        </is>
      </c>
      <c r="C24" s="112" t="n"/>
      <c r="D24" s="55" t="n"/>
      <c r="E24" s="56" t="n"/>
      <c r="F24" s="56" t="n"/>
      <c r="G24" s="56" t="n"/>
      <c r="H24" s="39" t="n"/>
      <c r="I24" s="39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</row>
    <row r="25">
      <c r="A25" s="524" t="n"/>
      <c r="B25" s="54" t="inlineStr">
        <is>
          <t xml:space="preserve">GAVI IL VALENTINO, LA SCOLCA </t>
        </is>
      </c>
      <c r="C25" s="112" t="n">
        <v>1064.5</v>
      </c>
      <c r="D25" s="55" t="n">
        <v>1077.5</v>
      </c>
      <c r="E25" s="56" t="n">
        <v>750</v>
      </c>
      <c r="F25" s="56" t="n">
        <v>150</v>
      </c>
      <c r="G25" s="56" t="n">
        <v>1</v>
      </c>
      <c r="H25" s="39">
        <f>D25/G25</f>
        <v/>
      </c>
      <c r="I25" s="39">
        <f>H25/C25*100</f>
        <v/>
      </c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</row>
    <row r="26">
      <c r="A26" s="524" t="n"/>
      <c r="B26" s="54" t="inlineStr">
        <is>
          <t>GRASSL GRUNER VELTLINER</t>
        </is>
      </c>
      <c r="C26" s="112" t="n">
        <v>1101.5</v>
      </c>
      <c r="D26" s="55" t="n">
        <v>1114.5</v>
      </c>
      <c r="E26" s="56" t="n">
        <v>750</v>
      </c>
      <c r="F26" s="56" t="n">
        <v>150</v>
      </c>
      <c r="G26" s="56" t="n">
        <v>1</v>
      </c>
      <c r="H26" s="39">
        <f>D26/G26</f>
        <v/>
      </c>
      <c r="I26" s="39">
        <f>H26/C26*100</f>
        <v/>
      </c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</row>
    <row r="27">
      <c r="A27" s="524" t="n"/>
      <c r="B27" s="54" t="n"/>
      <c r="C27" s="112" t="n"/>
      <c r="D27" s="55" t="n"/>
      <c r="E27" s="56" t="n"/>
      <c r="F27" s="56" t="n"/>
      <c r="G27" s="56" t="n"/>
      <c r="H27" s="39" t="n"/>
      <c r="I27" s="39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</row>
    <row r="28">
      <c r="A28" s="524" t="n"/>
      <c r="B28" s="266" t="inlineStr">
        <is>
          <t>CHAMPAGHNE /ШАМПАНСКОЕ</t>
        </is>
      </c>
      <c r="C28" s="112" t="n"/>
      <c r="D28" s="55" t="n"/>
      <c r="E28" s="56" t="n"/>
      <c r="F28" s="56" t="n"/>
      <c r="G28" s="56" t="n"/>
      <c r="H28" s="39" t="n"/>
      <c r="I28" s="39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</row>
    <row r="29">
      <c r="A29" s="524" t="n"/>
      <c r="B29" s="54" t="inlineStr">
        <is>
          <t>LANSON LE BLACK LABEL BRUT</t>
        </is>
      </c>
      <c r="C29" s="112" t="n">
        <v>1212.5</v>
      </c>
      <c r="D29" s="55" t="n">
        <v>1225.5</v>
      </c>
      <c r="E29" s="56" t="n">
        <v>750</v>
      </c>
      <c r="F29" s="56" t="n">
        <v>150</v>
      </c>
      <c r="G29" s="56" t="n">
        <v>1</v>
      </c>
      <c r="H29" s="39">
        <f>D29/G29</f>
        <v/>
      </c>
      <c r="I29" s="39">
        <f>H29/C29*100</f>
        <v/>
      </c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</row>
    <row r="30">
      <c r="A30" s="524" t="n"/>
      <c r="B30" s="54" t="inlineStr">
        <is>
          <t>LOUIS ROEDERER COLLECTION BRUT</t>
        </is>
      </c>
      <c r="C30" s="112" t="n">
        <v>1249.5</v>
      </c>
      <c r="D30" s="55" t="n"/>
      <c r="E30" s="56" t="n">
        <v>750</v>
      </c>
      <c r="F30" s="56" t="n">
        <v>150</v>
      </c>
      <c r="G30" s="56" t="n">
        <v>1</v>
      </c>
      <c r="H30" s="39">
        <f>D30/G30</f>
        <v/>
      </c>
      <c r="I30" s="39">
        <f>H30/C30*100</f>
        <v/>
      </c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</row>
    <row r="31">
      <c r="A31" s="524" t="n"/>
      <c r="B31" s="54" t="n"/>
      <c r="C31" s="112" t="n"/>
      <c r="D31" s="55" t="n"/>
      <c r="E31" s="56" t="n"/>
      <c r="F31" s="56" t="n"/>
      <c r="G31" s="56" t="n"/>
      <c r="H31" s="39" t="n"/>
      <c r="I31" s="39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</row>
    <row r="32">
      <c r="A32" s="524" t="n"/>
      <c r="B32" s="266" t="inlineStr">
        <is>
          <t>RED WINE/КРАСНЫЕ ВИНА</t>
        </is>
      </c>
      <c r="C32" s="112" t="n"/>
      <c r="D32" s="55" t="n"/>
      <c r="E32" s="56" t="n"/>
      <c r="F32" s="56" t="n"/>
      <c r="G32" s="56" t="n"/>
      <c r="H32" s="39" t="n"/>
      <c r="I32" s="39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</row>
    <row r="33">
      <c r="A33" s="524" t="n"/>
      <c r="B33" s="54" t="inlineStr">
        <is>
          <t>VALPOLICELLA DOC, BERTANI</t>
        </is>
      </c>
      <c r="C33" s="112" t="n">
        <v>1360.5</v>
      </c>
      <c r="D33" s="55" t="n">
        <v>1373.5</v>
      </c>
      <c r="E33" s="56" t="n">
        <v>750</v>
      </c>
      <c r="F33" s="56" t="n">
        <v>150</v>
      </c>
      <c r="G33" s="56" t="n">
        <v>1</v>
      </c>
      <c r="H33" s="39">
        <f>D33/G33</f>
        <v/>
      </c>
      <c r="I33" s="39">
        <f>H33/C33*100</f>
        <v/>
      </c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</row>
    <row r="34">
      <c r="A34" s="524" t="n"/>
      <c r="B34" s="54" t="inlineStr">
        <is>
          <t>BUENA VISTA ZINFANDEL</t>
        </is>
      </c>
      <c r="C34" s="112" t="n">
        <v>1397.5</v>
      </c>
      <c r="D34" s="55" t="n">
        <v>1410.5</v>
      </c>
      <c r="E34" s="56" t="n">
        <v>750</v>
      </c>
      <c r="F34" s="56" t="n">
        <v>150</v>
      </c>
      <c r="G34" s="56" t="n">
        <v>1</v>
      </c>
      <c r="H34" s="39">
        <f>D34/G34</f>
        <v/>
      </c>
      <c r="I34" s="39">
        <f>H34/C34*100</f>
        <v/>
      </c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</row>
    <row r="35">
      <c r="A35" s="524" t="n"/>
      <c r="B35" s="54" t="n"/>
      <c r="C35" s="112" t="n"/>
      <c r="D35" s="55" t="n"/>
      <c r="E35" s="56" t="n"/>
      <c r="F35" s="56" t="n"/>
      <c r="G35" s="56" t="n"/>
      <c r="H35" s="39" t="n"/>
      <c r="I35" s="39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</row>
    <row r="36">
      <c r="A36" s="524" t="n"/>
      <c r="B36" s="266" t="inlineStr">
        <is>
          <t>VODKA/ВОДКА 50 ml</t>
        </is>
      </c>
      <c r="C36" s="112" t="n"/>
      <c r="D36" s="55" t="n"/>
      <c r="E36" s="56" t="n"/>
      <c r="F36" s="56" t="n"/>
      <c r="G36" s="56" t="n"/>
      <c r="H36" s="39" t="n"/>
      <c r="I36" s="39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</row>
    <row r="37">
      <c r="A37" s="524" t="n"/>
      <c r="B37" s="54" t="inlineStr">
        <is>
          <t>BELUGA NOBLE</t>
        </is>
      </c>
      <c r="C37" s="112" t="n">
        <v>1508.5</v>
      </c>
      <c r="D37" s="55" t="n">
        <v>1521.5</v>
      </c>
      <c r="E37" s="56" t="n">
        <v>1000</v>
      </c>
      <c r="F37" s="56" t="n">
        <v>50</v>
      </c>
      <c r="G37" s="56" t="n">
        <v>20</v>
      </c>
      <c r="H37" s="39">
        <f>D37/G37</f>
        <v/>
      </c>
      <c r="I37" s="39">
        <f>H37/C37*100</f>
        <v/>
      </c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</row>
    <row r="38">
      <c r="A38" s="524" t="n"/>
      <c r="B38" s="54" t="inlineStr">
        <is>
          <t>BELUGA GOLD LINE</t>
        </is>
      </c>
      <c r="C38" s="112" t="n">
        <v>1545.5</v>
      </c>
      <c r="D38" s="55" t="n">
        <v>1558.5</v>
      </c>
      <c r="E38" s="56" t="n">
        <v>750</v>
      </c>
      <c r="F38" s="56" t="n">
        <v>50</v>
      </c>
      <c r="G38" s="56" t="n">
        <v>15</v>
      </c>
      <c r="H38" s="39">
        <f>D38/G38</f>
        <v/>
      </c>
      <c r="I38" s="39">
        <f>H38/C38*100</f>
        <v/>
      </c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</row>
    <row r="39">
      <c r="A39" s="524" t="n"/>
      <c r="B39" s="54" t="inlineStr">
        <is>
          <t>GREY GOOSE</t>
        </is>
      </c>
      <c r="C39" s="112" t="n">
        <v>1582.5</v>
      </c>
      <c r="D39" s="56" t="n">
        <v>1595.5</v>
      </c>
      <c r="E39" s="56" t="n">
        <v>1000</v>
      </c>
      <c r="F39" s="56" t="n">
        <v>50</v>
      </c>
      <c r="G39" s="56" t="n">
        <v>20</v>
      </c>
      <c r="H39" s="39">
        <f>D39/G39</f>
        <v/>
      </c>
      <c r="I39" s="39">
        <f>H39/C39*100</f>
        <v/>
      </c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</row>
    <row r="40">
      <c r="A40" s="524" t="n"/>
      <c r="B40" s="54" t="n"/>
      <c r="C40" s="112" t="n"/>
      <c r="D40" s="56" t="n"/>
      <c r="E40" s="56" t="n"/>
      <c r="F40" s="56" t="n"/>
      <c r="G40" s="56" t="n"/>
      <c r="H40" s="56" t="n"/>
      <c r="I40" s="39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</row>
    <row r="41">
      <c r="A41" s="524" t="n"/>
      <c r="B41" s="266" t="inlineStr">
        <is>
          <t>GIN/ДЖИН 50 ml</t>
        </is>
      </c>
      <c r="C41" s="112" t="n"/>
      <c r="D41" s="56" t="n"/>
      <c r="E41" s="56" t="n"/>
      <c r="F41" s="56" t="n"/>
      <c r="G41" s="56" t="n"/>
      <c r="H41" s="56" t="n"/>
      <c r="I41" s="39" t="n"/>
      <c r="J41" s="6" t="n"/>
      <c r="K41" s="10" t="n"/>
      <c r="L41" s="10" t="n"/>
      <c r="M41" s="10" t="n"/>
      <c r="N41" s="10" t="n"/>
      <c r="O41" s="10" t="n"/>
      <c r="P41" s="10" t="n"/>
      <c r="Q41" s="10" t="n"/>
      <c r="R41" s="10" t="n"/>
    </row>
    <row r="42">
      <c r="A42" s="524" t="n"/>
      <c r="B42" s="119" t="inlineStr">
        <is>
          <t xml:space="preserve">CRUXLAND </t>
        </is>
      </c>
      <c r="C42" s="112" t="n">
        <v>1693.5</v>
      </c>
      <c r="D42" s="55" t="n">
        <v>1706.5</v>
      </c>
      <c r="E42" s="56" t="n">
        <v>750</v>
      </c>
      <c r="F42" s="56" t="n">
        <v>50</v>
      </c>
      <c r="G42" s="56" t="n">
        <v>15</v>
      </c>
      <c r="H42" s="39">
        <f>D42/G42</f>
        <v/>
      </c>
      <c r="I42" s="39">
        <f>H42/C42*100</f>
        <v/>
      </c>
      <c r="J42" s="59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</row>
    <row r="43">
      <c r="A43" s="524" t="n"/>
      <c r="B43" s="119" t="inlineStr">
        <is>
          <t>BERKSHIRE SLOE GIN</t>
        </is>
      </c>
      <c r="C43" s="112" t="n">
        <v>1730.5</v>
      </c>
      <c r="D43" s="55" t="n">
        <v>1743.5</v>
      </c>
      <c r="E43" s="56" t="n">
        <v>500</v>
      </c>
      <c r="F43" s="56" t="n">
        <v>50</v>
      </c>
      <c r="G43" s="56" t="n">
        <v>10</v>
      </c>
      <c r="H43" s="39">
        <f>D43/G43</f>
        <v/>
      </c>
      <c r="I43" s="39">
        <f>H43/C43*100</f>
        <v/>
      </c>
      <c r="J43" s="59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</row>
    <row r="44">
      <c r="A44" s="524" t="n"/>
      <c r="B44" s="119" t="inlineStr">
        <is>
          <t>BERKSHIRE DRY GIN</t>
        </is>
      </c>
      <c r="C44" s="112" t="n">
        <v>1767.5</v>
      </c>
      <c r="D44" s="55" t="n">
        <v>1780.5</v>
      </c>
      <c r="E44" s="56" t="n">
        <v>500</v>
      </c>
      <c r="F44" s="56" t="n">
        <v>50</v>
      </c>
      <c r="G44" s="56" t="n">
        <v>10</v>
      </c>
      <c r="H44" s="39">
        <f>D44/G44</f>
        <v/>
      </c>
      <c r="I44" s="39">
        <f>H44/C44*100</f>
        <v/>
      </c>
      <c r="J44" s="59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</row>
    <row r="45">
      <c r="A45" s="524" t="n"/>
      <c r="B45" s="119" t="inlineStr">
        <is>
          <t>BERKSHIRE RHUBARB &amp; RASPBERY GIN</t>
        </is>
      </c>
      <c r="C45" s="112" t="n">
        <v>1804.5</v>
      </c>
      <c r="D45" s="55" t="n">
        <v>1817.5</v>
      </c>
      <c r="E45" s="56" t="n">
        <v>500</v>
      </c>
      <c r="F45" s="56" t="n">
        <v>50</v>
      </c>
      <c r="G45" s="56" t="n">
        <v>10</v>
      </c>
      <c r="H45" s="39">
        <f>D45/G45</f>
        <v/>
      </c>
      <c r="I45" s="39">
        <f>H45/C45*100</f>
        <v/>
      </c>
      <c r="J45" s="59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</row>
    <row r="46">
      <c r="A46" s="524" t="n"/>
      <c r="B46" s="119" t="inlineStr">
        <is>
          <t>WHITLEY NEIL DRY CIN</t>
        </is>
      </c>
      <c r="C46" s="112" t="n">
        <v>1841.5</v>
      </c>
      <c r="D46" s="55" t="n">
        <v>1854.5</v>
      </c>
      <c r="E46" s="56" t="n">
        <v>700</v>
      </c>
      <c r="F46" s="56" t="n">
        <v>50</v>
      </c>
      <c r="G46" s="56" t="n">
        <v>14</v>
      </c>
      <c r="H46" s="39">
        <f>D46/G46</f>
        <v/>
      </c>
      <c r="I46" s="39">
        <f>H46/C46*100</f>
        <v/>
      </c>
      <c r="J46" s="59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</row>
    <row r="47">
      <c r="A47" s="524" t="n"/>
      <c r="B47" s="119" t="inlineStr">
        <is>
          <t xml:space="preserve">BOMBAY SAPPHIRE </t>
        </is>
      </c>
      <c r="C47" s="112" t="n">
        <v>1878.5</v>
      </c>
      <c r="D47" s="55" t="n">
        <v>1891.5</v>
      </c>
      <c r="E47" s="56" t="n">
        <v>1000</v>
      </c>
      <c r="F47" s="56" t="n">
        <v>50</v>
      </c>
      <c r="G47" s="56" t="n">
        <v>20</v>
      </c>
      <c r="H47" s="39">
        <f>D47/G47</f>
        <v/>
      </c>
      <c r="I47" s="39">
        <f>H47/C47*100</f>
        <v/>
      </c>
      <c r="J47" s="59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</row>
    <row r="48">
      <c r="A48" s="524" t="n"/>
      <c r="B48" s="119" t="inlineStr">
        <is>
          <t>BOMBAY BRAMBLE</t>
        </is>
      </c>
      <c r="C48" s="112" t="n">
        <v>1915.5</v>
      </c>
      <c r="D48" s="55" t="n">
        <v>1928.5</v>
      </c>
      <c r="E48" s="56" t="n">
        <v>700</v>
      </c>
      <c r="F48" s="56" t="n">
        <v>50</v>
      </c>
      <c r="G48" s="56" t="n">
        <v>14</v>
      </c>
      <c r="H48" s="39">
        <f>D48/G48</f>
        <v/>
      </c>
      <c r="I48" s="39">
        <f>H48/C48*100</f>
        <v/>
      </c>
      <c r="J48" s="59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</row>
    <row r="49">
      <c r="A49" s="524" t="n"/>
      <c r="B49" s="171" t="inlineStr">
        <is>
          <t>HENDRICK’S</t>
        </is>
      </c>
      <c r="C49" s="112" t="n">
        <v>1952.5</v>
      </c>
      <c r="D49" s="55" t="n">
        <v>1965.5</v>
      </c>
      <c r="E49" s="56" t="n">
        <v>700</v>
      </c>
      <c r="F49" s="56" t="n">
        <v>50</v>
      </c>
      <c r="G49" s="56" t="n">
        <v>14</v>
      </c>
      <c r="H49" s="39">
        <f>D49/G49</f>
        <v/>
      </c>
      <c r="I49" s="39">
        <f>H49/C49*100</f>
        <v/>
      </c>
      <c r="J49" s="6" t="n"/>
      <c r="K49" s="10" t="n"/>
      <c r="L49" s="10" t="n"/>
      <c r="M49" s="10" t="n"/>
      <c r="N49" s="10" t="n"/>
      <c r="O49" s="10" t="n"/>
      <c r="P49" s="10" t="n"/>
      <c r="Q49" s="10" t="n"/>
      <c r="R49" s="10" t="n"/>
    </row>
    <row r="50">
      <c r="A50" s="524" t="n"/>
      <c r="B50" s="54" t="inlineStr">
        <is>
          <t>ROKU</t>
        </is>
      </c>
      <c r="C50" s="112" t="n">
        <v>1989.5</v>
      </c>
      <c r="D50" s="55" t="n">
        <v>2002.5</v>
      </c>
      <c r="E50" s="56" t="n">
        <v>700</v>
      </c>
      <c r="F50" s="56" t="n">
        <v>50</v>
      </c>
      <c r="G50" s="56" t="n">
        <v>15</v>
      </c>
      <c r="H50" s="39">
        <f>D50/G50</f>
        <v/>
      </c>
      <c r="I50" s="39">
        <f>H50/C50*100</f>
        <v/>
      </c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</row>
    <row r="51">
      <c r="A51" s="524" t="n"/>
      <c r="B51" s="54" t="inlineStr">
        <is>
          <t>MONKEY 47</t>
        </is>
      </c>
      <c r="C51" s="112" t="n">
        <v>2026.5</v>
      </c>
      <c r="D51" s="56" t="n">
        <v>2039.5</v>
      </c>
      <c r="E51" s="56" t="n">
        <v>500</v>
      </c>
      <c r="F51" s="56" t="n">
        <v>50</v>
      </c>
      <c r="G51" s="56" t="n">
        <v>10</v>
      </c>
      <c r="H51" s="39">
        <f>D51/G51</f>
        <v/>
      </c>
      <c r="I51" s="39">
        <f>H51/C51*100</f>
        <v/>
      </c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</row>
    <row r="52">
      <c r="A52" s="524" t="n"/>
      <c r="B52" s="54" t="n"/>
      <c r="C52" s="112" t="n"/>
      <c r="D52" s="56" t="n"/>
      <c r="E52" s="56" t="n"/>
      <c r="F52" s="56" t="n"/>
      <c r="G52" s="56" t="n"/>
      <c r="H52" s="39" t="n"/>
      <c r="I52" s="39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</row>
    <row r="53">
      <c r="A53" s="524" t="n"/>
      <c r="B53" s="266" t="inlineStr">
        <is>
          <t>WHISKEY/ВИСКИ 50 ml</t>
        </is>
      </c>
      <c r="C53" s="112" t="n"/>
      <c r="D53" s="56" t="n"/>
      <c r="E53" s="56" t="n"/>
      <c r="F53" s="56" t="n"/>
      <c r="G53" s="56" t="n"/>
      <c r="H53" s="56" t="n"/>
      <c r="I53" s="39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</row>
    <row r="54">
      <c r="A54" s="524" t="n"/>
      <c r="B54" s="177" t="inlineStr">
        <is>
          <t>SPEYSIDE/СПЕЙСАЙД</t>
        </is>
      </c>
      <c r="C54" s="112" t="n"/>
      <c r="D54" s="56" t="n"/>
      <c r="E54" s="56" t="n"/>
      <c r="F54" s="56" t="n"/>
      <c r="G54" s="56" t="n"/>
      <c r="H54" s="56" t="n"/>
      <c r="I54" s="39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</row>
    <row r="55">
      <c r="A55" s="524" t="n"/>
      <c r="B55" s="54" t="inlineStr">
        <is>
          <t xml:space="preserve">THE MACALLAN TRIPLE CASK 12 Y.O </t>
        </is>
      </c>
      <c r="C55" s="112" t="n">
        <v>2174.5</v>
      </c>
      <c r="D55" s="55" t="n">
        <v>2187.5</v>
      </c>
      <c r="E55" s="56" t="n">
        <v>700</v>
      </c>
      <c r="F55" s="56" t="n">
        <v>50</v>
      </c>
      <c r="G55" s="56" t="n">
        <v>14</v>
      </c>
      <c r="H55" s="39">
        <f>D55/G55</f>
        <v/>
      </c>
      <c r="I55" s="39">
        <f>H55/C55*100</f>
        <v/>
      </c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</row>
    <row r="56">
      <c r="A56" s="524" t="n"/>
      <c r="B56" s="54" t="inlineStr">
        <is>
          <t xml:space="preserve">THE MACALLAN TRIPLE CASK 15 Y.O </t>
        </is>
      </c>
      <c r="C56" s="112" t="n">
        <v>2211.5</v>
      </c>
      <c r="D56" s="55" t="n">
        <v>2224.5</v>
      </c>
      <c r="E56" s="56" t="n">
        <v>700</v>
      </c>
      <c r="F56" s="56" t="n">
        <v>50</v>
      </c>
      <c r="G56" s="56" t="n">
        <v>14</v>
      </c>
      <c r="H56" s="39">
        <f>D56/G56</f>
        <v/>
      </c>
      <c r="I56" s="39">
        <f>H56/C56*100</f>
        <v/>
      </c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</row>
    <row r="57">
      <c r="A57" s="524" t="n"/>
      <c r="B57" s="54" t="inlineStr">
        <is>
          <t xml:space="preserve">THE MACALLAN TRIPLE CASK 18 Y.O </t>
        </is>
      </c>
      <c r="C57" s="112" t="n">
        <v>2248.5</v>
      </c>
      <c r="D57" s="55" t="n">
        <v>2261.5</v>
      </c>
      <c r="E57" s="56" t="n">
        <v>700</v>
      </c>
      <c r="F57" s="56" t="n">
        <v>50</v>
      </c>
      <c r="G57" s="56" t="n">
        <v>14</v>
      </c>
      <c r="H57" s="39">
        <f>D57/G57</f>
        <v/>
      </c>
      <c r="I57" s="39">
        <f>H57/C57*100</f>
        <v/>
      </c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</row>
    <row r="58">
      <c r="A58" s="524" t="n"/>
      <c r="B58" s="54" t="inlineStr">
        <is>
          <t>SINGLETON 12 Y.O</t>
        </is>
      </c>
      <c r="C58" s="112" t="n">
        <v>2285.5</v>
      </c>
      <c r="D58" s="55" t="n">
        <v>2298.5</v>
      </c>
      <c r="E58" s="56" t="n">
        <v>700</v>
      </c>
      <c r="F58" s="56" t="n">
        <v>50</v>
      </c>
      <c r="G58" s="56" t="n">
        <v>14</v>
      </c>
      <c r="H58" s="39">
        <f>D58/G58</f>
        <v/>
      </c>
      <c r="I58" s="39">
        <f>H58/C58*100</f>
        <v/>
      </c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</row>
    <row r="59">
      <c r="A59" s="524" t="n"/>
      <c r="B59" s="54" t="inlineStr">
        <is>
          <t>CARDHU 12 Y.O</t>
        </is>
      </c>
      <c r="C59" s="112" t="n">
        <v>2322.5</v>
      </c>
      <c r="D59" s="55" t="n">
        <v>2335.5</v>
      </c>
      <c r="E59" s="56" t="n">
        <v>700</v>
      </c>
      <c r="F59" s="56" t="n">
        <v>50</v>
      </c>
      <c r="G59" s="56" t="n">
        <v>14</v>
      </c>
      <c r="H59" s="39">
        <f>D59/G59</f>
        <v/>
      </c>
      <c r="I59" s="39">
        <f>H59/C59*100</f>
        <v/>
      </c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</row>
    <row r="60">
      <c r="A60" s="524" t="n"/>
      <c r="B60" s="171" t="inlineStr">
        <is>
          <t>GLENFARCLAS 10</t>
        </is>
      </c>
      <c r="C60" s="112" t="n">
        <v>2359.5</v>
      </c>
      <c r="D60" s="55" t="n">
        <v>2372.5</v>
      </c>
      <c r="E60" s="56" t="n">
        <v>700</v>
      </c>
      <c r="F60" s="56" t="n">
        <v>50</v>
      </c>
      <c r="G60" s="56" t="n">
        <v>14</v>
      </c>
      <c r="H60" s="39">
        <f>D60/G60</f>
        <v/>
      </c>
      <c r="I60" s="39">
        <f>H60/C60*100</f>
        <v/>
      </c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</row>
    <row r="61">
      <c r="A61" s="10" t="n"/>
      <c r="B61" s="171" t="inlineStr">
        <is>
          <t>GLENFARCLAS 12</t>
        </is>
      </c>
      <c r="C61" s="112" t="n">
        <v>2396.5</v>
      </c>
      <c r="D61" s="55" t="n">
        <v>2409.5</v>
      </c>
      <c r="E61" s="56" t="n">
        <v>700</v>
      </c>
      <c r="F61" s="56" t="n">
        <v>50</v>
      </c>
      <c r="G61" s="56" t="n">
        <v>14</v>
      </c>
      <c r="H61" s="39">
        <f>D61/G61</f>
        <v/>
      </c>
      <c r="I61" s="39">
        <f>H61/C61*100</f>
        <v/>
      </c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</row>
    <row r="62">
      <c r="A62" s="10" t="n"/>
      <c r="B62" s="171" t="inlineStr">
        <is>
          <t>GLENFARCLAS 15</t>
        </is>
      </c>
      <c r="C62" s="112" t="n">
        <v>2433.5</v>
      </c>
      <c r="D62" s="55" t="n">
        <v>2446.5</v>
      </c>
      <c r="E62" s="56" t="n">
        <v>700</v>
      </c>
      <c r="F62" s="56" t="n">
        <v>50</v>
      </c>
      <c r="G62" s="56" t="n">
        <v>14</v>
      </c>
      <c r="H62" s="39">
        <f>D62/G62</f>
        <v/>
      </c>
      <c r="I62" s="39">
        <f>H62/C62*100</f>
        <v/>
      </c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</row>
    <row r="63">
      <c r="A63" s="10" t="n"/>
      <c r="B63" s="177" t="n"/>
      <c r="C63" s="112" t="n"/>
      <c r="D63" s="56" t="n"/>
      <c r="E63" s="56" t="n"/>
      <c r="F63" s="56" t="n"/>
      <c r="G63" s="56" t="n"/>
      <c r="H63" s="56" t="n"/>
      <c r="I63" s="39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</row>
    <row r="64">
      <c r="A64" s="524" t="n"/>
      <c r="B64" s="177" t="inlineStr">
        <is>
          <t>ISLAND/ОСТРОВНОЙ ВИСКИ</t>
        </is>
      </c>
      <c r="C64" s="112" t="n"/>
      <c r="D64" s="56" t="n"/>
      <c r="E64" s="56" t="n"/>
      <c r="F64" s="56" t="n"/>
      <c r="G64" s="56" t="n"/>
      <c r="H64" s="56" t="n"/>
      <c r="I64" s="39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</row>
    <row r="65">
      <c r="A65" s="524" t="n"/>
      <c r="B65" s="171" t="inlineStr">
        <is>
          <t>HIGHLAND PARK 12 Y.O</t>
        </is>
      </c>
      <c r="C65" s="112" t="n">
        <v>2544.5</v>
      </c>
      <c r="D65" s="55" t="n">
        <v>2557.5</v>
      </c>
      <c r="E65" s="56" t="n">
        <v>700</v>
      </c>
      <c r="F65" s="56" t="n">
        <v>50</v>
      </c>
      <c r="G65" s="56" t="n">
        <v>14</v>
      </c>
      <c r="H65" s="39">
        <f>D65/G65</f>
        <v/>
      </c>
      <c r="I65" s="39">
        <f>H65/C65*100</f>
        <v/>
      </c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</row>
    <row r="66">
      <c r="A66" s="524" t="n"/>
      <c r="B66" s="171" t="inlineStr">
        <is>
          <t>ABERFELDY 12</t>
        </is>
      </c>
      <c r="C66" s="112" t="n">
        <v>2581.5</v>
      </c>
      <c r="D66" s="55" t="n">
        <v>2594.5</v>
      </c>
      <c r="E66" s="56" t="n">
        <v>700</v>
      </c>
      <c r="F66" s="56" t="n">
        <v>50</v>
      </c>
      <c r="G66" s="56" t="n">
        <v>14</v>
      </c>
      <c r="H66" s="39">
        <f>D66/G66</f>
        <v/>
      </c>
      <c r="I66" s="39">
        <f>H66/C66*100</f>
        <v/>
      </c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</row>
    <row r="67">
      <c r="A67" s="524" t="n"/>
      <c r="B67" s="171" t="n"/>
      <c r="C67" s="112" t="n"/>
      <c r="D67" s="55" t="n"/>
      <c r="E67" s="56" t="n"/>
      <c r="F67" s="56" t="n"/>
      <c r="G67" s="56" t="n"/>
      <c r="H67" s="39" t="n"/>
      <c r="I67" s="39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</row>
    <row r="68">
      <c r="A68" s="524" t="n"/>
      <c r="B68" s="177" t="inlineStr">
        <is>
          <t>ISLAY/ОСТРОВ АЙЛА</t>
        </is>
      </c>
      <c r="C68" s="112" t="n"/>
      <c r="D68" s="56" t="n"/>
      <c r="E68" s="56" t="n"/>
      <c r="F68" s="56" t="n"/>
      <c r="G68" s="56" t="n"/>
      <c r="H68" s="56" t="n"/>
      <c r="I68" s="39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</row>
    <row r="69">
      <c r="A69" s="524" t="n"/>
      <c r="B69" s="171" t="inlineStr">
        <is>
          <t>LAGAVULIN 8 Y.O</t>
        </is>
      </c>
      <c r="C69" s="112" t="n">
        <v>2692.5</v>
      </c>
      <c r="D69" s="55" t="n">
        <v>2705.5</v>
      </c>
      <c r="E69" s="56" t="n">
        <v>700</v>
      </c>
      <c r="F69" s="56" t="n">
        <v>50</v>
      </c>
      <c r="G69" s="56" t="n">
        <v>14</v>
      </c>
      <c r="H69" s="39">
        <f>D69/G69</f>
        <v/>
      </c>
      <c r="I69" s="39">
        <f>H69/C69*100</f>
        <v/>
      </c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</row>
    <row r="70">
      <c r="A70" s="524" t="n"/>
      <c r="B70" s="171" t="inlineStr">
        <is>
          <t>LAPHROAIG 10 Y.O</t>
        </is>
      </c>
      <c r="C70" s="112" t="n">
        <v>2729.5</v>
      </c>
      <c r="D70" s="55" t="n">
        <v>2742.5</v>
      </c>
      <c r="E70" s="56" t="n">
        <v>700</v>
      </c>
      <c r="F70" s="56" t="n">
        <v>50</v>
      </c>
      <c r="G70" s="56" t="n">
        <v>14</v>
      </c>
      <c r="H70" s="39">
        <f>D70/G70</f>
        <v/>
      </c>
      <c r="I70" s="39">
        <f>H70/C70*100</f>
        <v/>
      </c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</row>
    <row r="71">
      <c r="A71" s="524" t="n"/>
      <c r="B71" s="54" t="inlineStr">
        <is>
          <t>KILCHOMAN MACHIR BAY</t>
        </is>
      </c>
      <c r="C71" s="112" t="n">
        <v>2766.5</v>
      </c>
      <c r="D71" s="56" t="n">
        <v>2779.5</v>
      </c>
      <c r="E71" s="56" t="n">
        <v>700</v>
      </c>
      <c r="F71" s="56" t="n">
        <v>50</v>
      </c>
      <c r="G71" s="56" t="n">
        <v>14</v>
      </c>
      <c r="H71" s="39">
        <f>D71/G71</f>
        <v/>
      </c>
      <c r="I71" s="39">
        <f>H71/C71*100</f>
        <v/>
      </c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</row>
    <row r="72">
      <c r="A72" s="524" t="n"/>
      <c r="B72" s="54" t="n"/>
      <c r="C72" s="112" t="n"/>
      <c r="D72" s="56" t="n"/>
      <c r="E72" s="56" t="n"/>
      <c r="F72" s="56" t="n"/>
      <c r="G72" s="56" t="n"/>
      <c r="H72" s="39" t="n"/>
      <c r="I72" s="39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</row>
    <row r="73">
      <c r="A73" s="524" t="n"/>
      <c r="B73" s="177" t="inlineStr">
        <is>
          <t>BLENDED SCOTCH WHISKEY/КУПАЖИРОВАННЫЙ</t>
        </is>
      </c>
      <c r="C73" s="112" t="n"/>
      <c r="D73" s="56" t="n"/>
      <c r="E73" s="56" t="n"/>
      <c r="F73" s="56" t="n"/>
      <c r="G73" s="56" t="n"/>
      <c r="H73" s="56" t="n"/>
      <c r="I73" s="39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</row>
    <row r="74">
      <c r="A74" s="524" t="n"/>
      <c r="B74" s="171" t="inlineStr">
        <is>
          <t>CHIVAS REGAL 12</t>
        </is>
      </c>
      <c r="C74" s="112" t="n">
        <v>2877.5</v>
      </c>
      <c r="D74" s="55" t="n">
        <v>2890.5</v>
      </c>
      <c r="E74" s="56" t="n">
        <v>1000</v>
      </c>
      <c r="F74" s="56" t="n">
        <v>50</v>
      </c>
      <c r="G74" s="56" t="n">
        <v>20</v>
      </c>
      <c r="H74" s="39">
        <f>D74/G74</f>
        <v/>
      </c>
      <c r="I74" s="39">
        <f>H74/C74*100</f>
        <v/>
      </c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</row>
    <row r="75">
      <c r="A75" s="524" t="n"/>
      <c r="B75" s="171" t="inlineStr">
        <is>
          <t>CHIVAS REGAL 15</t>
        </is>
      </c>
      <c r="C75" s="112" t="n">
        <v>2914.5</v>
      </c>
      <c r="D75" s="55" t="n">
        <v>2927.5</v>
      </c>
      <c r="E75" s="56" t="n">
        <v>700</v>
      </c>
      <c r="F75" s="56" t="n">
        <v>50</v>
      </c>
      <c r="G75" s="56" t="n">
        <v>14</v>
      </c>
      <c r="H75" s="39">
        <f>D75/G75</f>
        <v/>
      </c>
      <c r="I75" s="39">
        <f>H75/C75*100</f>
        <v/>
      </c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</row>
    <row r="76">
      <c r="A76" s="524" t="n"/>
      <c r="B76" s="54" t="inlineStr">
        <is>
          <t>CHIVAS REGAL 18</t>
        </is>
      </c>
      <c r="C76" s="112" t="n">
        <v>2951.5</v>
      </c>
      <c r="D76" s="55" t="n">
        <v>2964.5</v>
      </c>
      <c r="E76" s="56" t="n">
        <v>700</v>
      </c>
      <c r="F76" s="56" t="n">
        <v>50</v>
      </c>
      <c r="G76" s="56" t="n">
        <v>14</v>
      </c>
      <c r="H76" s="39">
        <f>D76/G76</f>
        <v/>
      </c>
      <c r="I76" s="39">
        <f>H76/C76*100</f>
        <v/>
      </c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</row>
    <row r="77">
      <c r="A77" s="524" t="n"/>
      <c r="B77" s="171" t="inlineStr">
        <is>
          <t>JOHNNIE WALKER GOLD LABEL RESERVE</t>
        </is>
      </c>
      <c r="C77" s="112" t="n">
        <v>2988.5</v>
      </c>
      <c r="D77" s="55" t="n">
        <v>3001.5</v>
      </c>
      <c r="E77" s="56" t="n">
        <v>700</v>
      </c>
      <c r="F77" s="56" t="n">
        <v>50</v>
      </c>
      <c r="G77" s="56" t="n">
        <v>14</v>
      </c>
      <c r="H77" s="39">
        <f>D77/G77</f>
        <v/>
      </c>
      <c r="I77" s="39">
        <f>H77/C77*100</f>
        <v/>
      </c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</row>
    <row r="78">
      <c r="A78" s="524" t="n"/>
      <c r="B78" s="54" t="inlineStr">
        <is>
          <t>JOHNNIE WALKER BLACK LABEL 12 Y.O</t>
        </is>
      </c>
      <c r="C78" s="112" t="n">
        <v>3025.5</v>
      </c>
      <c r="D78" s="55" t="n">
        <v>3038.5</v>
      </c>
      <c r="E78" s="56" t="n">
        <v>1000</v>
      </c>
      <c r="F78" s="56" t="n">
        <v>50</v>
      </c>
      <c r="G78" s="56" t="n">
        <v>20</v>
      </c>
      <c r="H78" s="39">
        <f>D78/G78</f>
        <v/>
      </c>
      <c r="I78" s="39">
        <f>H78/C78*100</f>
        <v/>
      </c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</row>
    <row r="79">
      <c r="A79" s="524" t="n"/>
      <c r="B79" s="194" t="inlineStr">
        <is>
          <t>BALLANTINE'S 7 BOURBON FINISH</t>
        </is>
      </c>
      <c r="C79" s="112" t="n">
        <v>3062.5</v>
      </c>
      <c r="D79" s="55" t="n">
        <v>3075.5</v>
      </c>
      <c r="E79" s="56" t="n">
        <v>1000</v>
      </c>
      <c r="F79" s="56" t="n">
        <v>50</v>
      </c>
      <c r="G79" s="56" t="n">
        <v>20</v>
      </c>
      <c r="H79" s="39">
        <f>D79/G79</f>
        <v/>
      </c>
      <c r="I79" s="39">
        <f>H79/C79*100</f>
        <v/>
      </c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</row>
    <row r="80">
      <c r="A80" s="524" t="n"/>
      <c r="B80" s="194" t="inlineStr">
        <is>
          <t>DEWAR'S WHITE LABEL</t>
        </is>
      </c>
      <c r="C80" s="112" t="n">
        <v>3099.5</v>
      </c>
      <c r="D80" s="55" t="n">
        <v>3112.5</v>
      </c>
      <c r="E80" s="56" t="n">
        <v>1000</v>
      </c>
      <c r="F80" s="56" t="n">
        <v>50</v>
      </c>
      <c r="G80" s="56" t="n">
        <v>20</v>
      </c>
      <c r="H80" s="39">
        <f>D80/G80</f>
        <v/>
      </c>
      <c r="I80" s="39">
        <f>H80/C80*100</f>
        <v/>
      </c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</row>
    <row r="81">
      <c r="A81" s="524" t="n"/>
      <c r="B81" s="194" t="inlineStr">
        <is>
          <t>DEWAR'S 8</t>
        </is>
      </c>
      <c r="C81" s="112" t="n">
        <v>3136.5</v>
      </c>
      <c r="D81" s="55" t="n">
        <v>3149.5</v>
      </c>
      <c r="E81" s="56" t="n">
        <v>700</v>
      </c>
      <c r="F81" s="56" t="n">
        <v>50</v>
      </c>
      <c r="G81" s="56" t="n">
        <v>14</v>
      </c>
      <c r="H81" s="39">
        <f>D81/G81</f>
        <v/>
      </c>
      <c r="I81" s="39">
        <f>H81/C81*100</f>
        <v/>
      </c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</row>
    <row r="82">
      <c r="A82" s="524" t="n"/>
      <c r="B82" s="194" t="inlineStr">
        <is>
          <t>DEWAR'S 12</t>
        </is>
      </c>
      <c r="C82" s="112" t="n">
        <v>3173.5</v>
      </c>
      <c r="D82" s="55" t="n">
        <v>3186.5</v>
      </c>
      <c r="E82" s="56" t="n">
        <v>700</v>
      </c>
      <c r="F82" s="56" t="n">
        <v>50</v>
      </c>
      <c r="G82" s="56" t="n">
        <v>14</v>
      </c>
      <c r="H82" s="39">
        <f>D82/G82</f>
        <v/>
      </c>
      <c r="I82" s="39">
        <f>H82/C82*100</f>
        <v/>
      </c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</row>
    <row r="83">
      <c r="A83" s="524" t="n"/>
      <c r="B83" s="54" t="n"/>
      <c r="C83" s="112" t="n"/>
      <c r="D83" s="56" t="n"/>
      <c r="E83" s="56" t="n"/>
      <c r="F83" s="56" t="n"/>
      <c r="G83" s="56" t="n"/>
      <c r="H83" s="56" t="n"/>
      <c r="I83" s="39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</row>
    <row r="84">
      <c r="A84" s="524" t="n"/>
      <c r="B84" s="177" t="inlineStr">
        <is>
          <t>IRELAND/ИРЛАНДСКИЙ</t>
        </is>
      </c>
      <c r="C84" s="112" t="n"/>
      <c r="D84" s="56" t="n"/>
      <c r="E84" s="56" t="n"/>
      <c r="F84" s="56" t="n"/>
      <c r="G84" s="56" t="n"/>
      <c r="H84" s="56" t="n"/>
      <c r="I84" s="39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</row>
    <row r="85">
      <c r="A85" s="524" t="n"/>
      <c r="B85" s="54" t="inlineStr">
        <is>
          <t>BUSHMILLS ORIGINAL</t>
        </is>
      </c>
      <c r="C85" s="112" t="n">
        <v>3284.5</v>
      </c>
      <c r="D85" s="55" t="n">
        <v>3297.5</v>
      </c>
      <c r="E85" s="56" t="n">
        <v>1000</v>
      </c>
      <c r="F85" s="56" t="n">
        <v>50</v>
      </c>
      <c r="G85" s="56" t="n">
        <v>20</v>
      </c>
      <c r="H85" s="39">
        <f>D85/G85</f>
        <v/>
      </c>
      <c r="I85" s="39">
        <f>H85/C85*100</f>
        <v/>
      </c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</row>
    <row r="86">
      <c r="A86" s="524" t="n"/>
      <c r="B86" s="54" t="inlineStr">
        <is>
          <t>JAMESON</t>
        </is>
      </c>
      <c r="C86" s="112" t="n">
        <v>3321.5</v>
      </c>
      <c r="D86" s="55" t="n">
        <v>3334.5</v>
      </c>
      <c r="E86" s="56" t="n">
        <v>1000</v>
      </c>
      <c r="F86" s="56" t="n">
        <v>50</v>
      </c>
      <c r="G86" s="56" t="n">
        <v>20</v>
      </c>
      <c r="H86" s="39">
        <f>D86/G86</f>
        <v/>
      </c>
      <c r="I86" s="39">
        <f>H86/C86*100</f>
        <v/>
      </c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</row>
    <row r="87">
      <c r="A87" s="524" t="n"/>
      <c r="B87" s="54" t="inlineStr">
        <is>
          <t>THE WHISTLER MOSAIC MARSALA CASK</t>
        </is>
      </c>
      <c r="C87" s="112" t="n">
        <v>3358.5</v>
      </c>
      <c r="D87" s="55" t="n">
        <v>3371.5</v>
      </c>
      <c r="E87" s="56" t="n">
        <v>700</v>
      </c>
      <c r="F87" s="56" t="n">
        <v>50</v>
      </c>
      <c r="G87" s="56" t="n">
        <v>14</v>
      </c>
      <c r="H87" s="39">
        <f>D87/G87</f>
        <v/>
      </c>
      <c r="I87" s="39">
        <f>H87/C87*100</f>
        <v/>
      </c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</row>
    <row r="88">
      <c r="A88" s="524" t="n"/>
      <c r="B88" s="54" t="n"/>
      <c r="C88" s="112" t="n"/>
      <c r="D88" s="55" t="n"/>
      <c r="E88" s="56" t="n"/>
      <c r="F88" s="56" t="n"/>
      <c r="G88" s="56" t="n"/>
      <c r="H88" s="39" t="n"/>
      <c r="I88" s="39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</row>
    <row r="89">
      <c r="A89" s="524" t="n"/>
      <c r="B89" s="177" t="inlineStr">
        <is>
          <t>AMERICA/БУРБОН</t>
        </is>
      </c>
      <c r="C89" s="112" t="n"/>
      <c r="D89" s="56" t="n"/>
      <c r="E89" s="56" t="n"/>
      <c r="F89" s="56" t="n"/>
      <c r="G89" s="56" t="n"/>
      <c r="H89" s="56" t="n"/>
      <c r="I89" s="39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</row>
    <row r="90">
      <c r="A90" s="524" t="n"/>
      <c r="B90" s="54" t="inlineStr">
        <is>
          <t>JIM BEAM WHITE</t>
        </is>
      </c>
      <c r="C90" s="112" t="n">
        <v>3469.5</v>
      </c>
      <c r="D90" s="55" t="n">
        <v>3482.5</v>
      </c>
      <c r="E90" s="56" t="n">
        <v>1000</v>
      </c>
      <c r="F90" s="56" t="n">
        <v>50</v>
      </c>
      <c r="G90" s="56" t="n">
        <v>20</v>
      </c>
      <c r="H90" s="39">
        <f>D90/G90</f>
        <v/>
      </c>
      <c r="I90" s="39">
        <f>H90/C90*100</f>
        <v/>
      </c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</row>
    <row r="91">
      <c r="A91" s="524" t="n"/>
      <c r="B91" s="54" t="inlineStr">
        <is>
          <t>JIM BEAM DOUBLE OAK</t>
        </is>
      </c>
      <c r="C91" s="112" t="n">
        <v>3506.5</v>
      </c>
      <c r="D91" s="55" t="n">
        <v>3519.5</v>
      </c>
      <c r="E91" s="56" t="n">
        <v>700</v>
      </c>
      <c r="F91" s="56" t="n">
        <v>50</v>
      </c>
      <c r="G91" s="56" t="n">
        <v>14</v>
      </c>
      <c r="H91" s="39">
        <f>D91/G91</f>
        <v/>
      </c>
      <c r="I91" s="39">
        <f>H91/C91*100</f>
        <v/>
      </c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</row>
    <row r="92">
      <c r="A92" s="524" t="n"/>
      <c r="B92" s="54" t="inlineStr">
        <is>
          <t>MAKERS MARK</t>
        </is>
      </c>
      <c r="C92" s="112" t="n">
        <v>3543.5</v>
      </c>
      <c r="D92" s="55" t="n">
        <v>3556.5</v>
      </c>
      <c r="E92" s="56" t="n">
        <v>1000</v>
      </c>
      <c r="F92" s="56" t="n">
        <v>50</v>
      </c>
      <c r="G92" s="56" t="n">
        <v>20</v>
      </c>
      <c r="H92" s="39">
        <f>D92/G92</f>
        <v/>
      </c>
      <c r="I92" s="39">
        <f>H92/C92*100</f>
        <v/>
      </c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</row>
    <row r="93">
      <c r="A93" s="524" t="n"/>
      <c r="B93" s="54" t="inlineStr">
        <is>
          <t>JACK DANIEL'S TENNESSEE WHISKEY</t>
        </is>
      </c>
      <c r="C93" s="112" t="n">
        <v>3580.5</v>
      </c>
      <c r="D93" s="56" t="n">
        <v>3593.5</v>
      </c>
      <c r="E93" s="56" t="n">
        <v>1000</v>
      </c>
      <c r="F93" s="56" t="n">
        <v>50</v>
      </c>
      <c r="G93" s="56" t="n">
        <v>20</v>
      </c>
      <c r="H93" s="39">
        <f>D93/G93</f>
        <v/>
      </c>
      <c r="I93" s="39">
        <f>H93/C93*100</f>
        <v/>
      </c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</row>
    <row r="94">
      <c r="A94" s="524" t="n"/>
      <c r="B94" s="54" t="n"/>
      <c r="C94" s="112" t="n"/>
      <c r="D94" s="56" t="n"/>
      <c r="E94" s="56" t="n"/>
      <c r="F94" s="56" t="n"/>
      <c r="G94" s="56" t="n"/>
      <c r="H94" s="56" t="n"/>
      <c r="I94" s="39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</row>
    <row r="95">
      <c r="A95" s="524" t="n"/>
      <c r="B95" s="266" t="inlineStr">
        <is>
          <t>COGNAC/КОНЬЯК 50 ml</t>
        </is>
      </c>
      <c r="C95" s="112" t="n"/>
      <c r="D95" s="56" t="n"/>
      <c r="E95" s="56" t="n"/>
      <c r="F95" s="56" t="n"/>
      <c r="G95" s="56" t="n"/>
      <c r="H95" s="56" t="n"/>
      <c r="I95" s="39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</row>
    <row r="96">
      <c r="A96" s="524" t="n"/>
      <c r="B96" s="171" t="inlineStr">
        <is>
          <t>HENNESSY VERY SPECIAL</t>
        </is>
      </c>
      <c r="C96" s="112" t="n">
        <v>3691.5</v>
      </c>
      <c r="D96" s="55" t="n"/>
      <c r="E96" s="56" t="n">
        <v>700</v>
      </c>
      <c r="F96" s="56" t="n">
        <v>50</v>
      </c>
      <c r="G96" s="56" t="n">
        <v>14</v>
      </c>
      <c r="H96" s="39">
        <f>D96/G96</f>
        <v/>
      </c>
      <c r="I96" s="39">
        <f>H96/C96*100</f>
        <v/>
      </c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</row>
    <row r="97">
      <c r="A97" s="524" t="n"/>
      <c r="B97" s="171" t="inlineStr">
        <is>
          <t>HENNESSY V.S.O.P</t>
        </is>
      </c>
      <c r="C97" s="112" t="n">
        <v>3728.5</v>
      </c>
      <c r="D97" s="55" t="n"/>
      <c r="E97" s="56" t="n">
        <v>1000</v>
      </c>
      <c r="F97" s="56" t="n">
        <v>50</v>
      </c>
      <c r="G97" s="56" t="n">
        <v>20</v>
      </c>
      <c r="H97" s="39">
        <f>D97/G97</f>
        <v/>
      </c>
      <c r="I97" s="39">
        <f>H97/C97*100</f>
        <v/>
      </c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</row>
    <row r="98">
      <c r="A98" s="524" t="n"/>
      <c r="B98" s="171" t="inlineStr">
        <is>
          <t>HENNESSY X.O</t>
        </is>
      </c>
      <c r="C98" s="112" t="n">
        <v>3765.5</v>
      </c>
      <c r="D98" s="55" t="n"/>
      <c r="E98" s="56" t="n">
        <v>700</v>
      </c>
      <c r="F98" s="56" t="n">
        <v>50</v>
      </c>
      <c r="G98" s="56" t="n">
        <v>14</v>
      </c>
      <c r="H98" s="39">
        <f>D98/G98</f>
        <v/>
      </c>
      <c r="I98" s="39">
        <f>H98/C98*100</f>
        <v/>
      </c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</row>
    <row r="99">
      <c r="A99" s="524" t="n"/>
      <c r="B99" s="171" t="inlineStr">
        <is>
          <t>MARTELL VS</t>
        </is>
      </c>
      <c r="C99" s="112" t="n">
        <v>3802.5</v>
      </c>
      <c r="D99" s="55" t="n">
        <v>3815.5</v>
      </c>
      <c r="E99" s="56" t="n">
        <v>700</v>
      </c>
      <c r="F99" s="56" t="n">
        <v>50</v>
      </c>
      <c r="G99" s="56" t="n">
        <v>14</v>
      </c>
      <c r="H99" s="39">
        <f>D99/G99</f>
        <v/>
      </c>
      <c r="I99" s="39">
        <f>H99/C99*100</f>
        <v/>
      </c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</row>
    <row r="100">
      <c r="A100" s="524" t="n"/>
      <c r="B100" s="171" t="inlineStr">
        <is>
          <t>MARTELL VSOP</t>
        </is>
      </c>
      <c r="C100" s="112" t="n">
        <v>3839.5</v>
      </c>
      <c r="D100" s="55" t="n">
        <v>3852.5</v>
      </c>
      <c r="E100" s="56" t="n">
        <v>700</v>
      </c>
      <c r="F100" s="56" t="n">
        <v>50</v>
      </c>
      <c r="G100" s="56" t="n">
        <v>14</v>
      </c>
      <c r="H100" s="39">
        <f>D100/G100</f>
        <v/>
      </c>
      <c r="I100" s="39">
        <f>H100/C100*100</f>
        <v/>
      </c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</row>
    <row r="101">
      <c r="A101" s="524" t="n"/>
      <c r="B101" s="54" t="n"/>
      <c r="C101" s="112" t="n"/>
      <c r="D101" s="56" t="n"/>
      <c r="E101" s="56" t="n"/>
      <c r="F101" s="56" t="n"/>
      <c r="G101" s="56" t="n"/>
      <c r="H101" s="56" t="n"/>
      <c r="I101" s="39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</row>
    <row r="102">
      <c r="A102" s="524" t="n"/>
      <c r="B102" s="266" t="inlineStr">
        <is>
          <t>CALVADOS/КАЛЬВАДОС 50 ml</t>
        </is>
      </c>
      <c r="C102" s="112" t="n"/>
      <c r="D102" s="56" t="n"/>
      <c r="E102" s="56" t="n"/>
      <c r="F102" s="56" t="n"/>
      <c r="G102" s="56" t="n"/>
      <c r="H102" s="56" t="n"/>
      <c r="I102" s="39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</row>
    <row r="103">
      <c r="A103" s="524" t="n"/>
      <c r="B103" s="54" t="inlineStr">
        <is>
          <t>DU PERE LAIZE VS</t>
        </is>
      </c>
      <c r="C103" s="112" t="n">
        <v>3950.5</v>
      </c>
      <c r="D103" s="55" t="n">
        <v>3963.5</v>
      </c>
      <c r="E103" s="56" t="n">
        <v>700</v>
      </c>
      <c r="F103" s="56" t="n">
        <v>50</v>
      </c>
      <c r="G103" s="56" t="n">
        <v>14</v>
      </c>
      <c r="H103" s="39">
        <f>D103/G103</f>
        <v/>
      </c>
      <c r="I103" s="39">
        <f>H103/C103*100</f>
        <v/>
      </c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</row>
    <row r="104">
      <c r="A104" s="524" t="n"/>
      <c r="B104" s="54" t="n"/>
      <c r="C104" s="112" t="n"/>
      <c r="D104" s="56" t="n"/>
      <c r="E104" s="56" t="n"/>
      <c r="F104" s="56" t="n"/>
      <c r="G104" s="56" t="n"/>
      <c r="H104" s="56" t="n"/>
      <c r="I104" s="39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</row>
    <row r="105">
      <c r="A105" s="524" t="n"/>
      <c r="B105" s="266" t="inlineStr">
        <is>
          <t>RUM/РОМ 50 ml</t>
        </is>
      </c>
      <c r="C105" s="112" t="n"/>
      <c r="D105" s="56" t="n"/>
      <c r="E105" s="56" t="n"/>
      <c r="F105" s="56" t="n"/>
      <c r="G105" s="56" t="n"/>
      <c r="H105" s="56" t="n"/>
      <c r="I105" s="39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</row>
    <row r="106">
      <c r="A106" s="524" t="n"/>
      <c r="B106" s="54" t="inlineStr">
        <is>
          <t>HAVANA CLUB 3 ANOS</t>
        </is>
      </c>
      <c r="C106" s="112" t="n">
        <v>4061.5</v>
      </c>
      <c r="D106" s="55" t="n">
        <v>4074.5</v>
      </c>
      <c r="E106" s="56" t="n">
        <v>1000</v>
      </c>
      <c r="F106" s="56" t="n">
        <v>50</v>
      </c>
      <c r="G106" s="56" t="n">
        <v>20</v>
      </c>
      <c r="H106" s="39">
        <f>D106/G106</f>
        <v/>
      </c>
      <c r="I106" s="39">
        <f>H106/C106*100</f>
        <v/>
      </c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</row>
    <row r="107">
      <c r="A107" s="524" t="n"/>
      <c r="B107" s="54" t="inlineStr">
        <is>
          <t>HAVANA CLUB 7 ANOS</t>
        </is>
      </c>
      <c r="C107" s="112" t="n">
        <v>4098.5</v>
      </c>
      <c r="D107" s="55" t="n">
        <v>4111.5</v>
      </c>
      <c r="E107" s="56" t="n">
        <v>700</v>
      </c>
      <c r="F107" s="56" t="n">
        <v>50</v>
      </c>
      <c r="G107" s="56" t="n">
        <v>14</v>
      </c>
      <c r="H107" s="39">
        <f>D107/G107</f>
        <v/>
      </c>
      <c r="I107" s="39">
        <f>H107/C107*100</f>
        <v/>
      </c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</row>
    <row r="108">
      <c r="A108" s="524" t="n"/>
      <c r="B108" s="54" t="inlineStr">
        <is>
          <t>BRUGAL 1888</t>
        </is>
      </c>
      <c r="C108" s="112" t="n">
        <v>4135.5</v>
      </c>
      <c r="D108" s="55" t="n">
        <v>4148.5</v>
      </c>
      <c r="E108" s="56" t="n">
        <v>700</v>
      </c>
      <c r="F108" s="56" t="n">
        <v>50</v>
      </c>
      <c r="G108" s="56" t="n">
        <v>14</v>
      </c>
      <c r="H108" s="39">
        <f>D108/G108</f>
        <v/>
      </c>
      <c r="I108" s="39">
        <f>H108/C108*100</f>
        <v/>
      </c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</row>
    <row r="109">
      <c r="A109" s="524" t="n"/>
      <c r="B109" s="171" t="inlineStr">
        <is>
          <t>SAILOR JERRY</t>
        </is>
      </c>
      <c r="C109" s="112" t="n">
        <v>4172.5</v>
      </c>
      <c r="D109" s="55" t="n">
        <v>4185.5</v>
      </c>
      <c r="E109" s="56" t="n">
        <v>700</v>
      </c>
      <c r="F109" s="56" t="n">
        <v>50</v>
      </c>
      <c r="G109" s="56" t="n">
        <v>14</v>
      </c>
      <c r="H109" s="39">
        <f>D109/G109</f>
        <v/>
      </c>
      <c r="I109" s="39">
        <f>H109/C109*100</f>
        <v/>
      </c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</row>
    <row r="110">
      <c r="A110" s="524" t="n"/>
      <c r="B110" s="54" t="inlineStr">
        <is>
          <t>BOTUCAL RESERVA EXCLUSIVA</t>
        </is>
      </c>
      <c r="C110" s="112" t="n">
        <v>4209.5</v>
      </c>
      <c r="D110" s="55" t="n">
        <v>4222.5</v>
      </c>
      <c r="E110" s="56" t="n">
        <v>700</v>
      </c>
      <c r="F110" s="56" t="n">
        <v>50</v>
      </c>
      <c r="G110" s="56" t="n">
        <v>14</v>
      </c>
      <c r="H110" s="39">
        <f>D110/G110</f>
        <v/>
      </c>
      <c r="I110" s="39">
        <f>H110/C110*100</f>
        <v/>
      </c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</row>
    <row r="111">
      <c r="A111" s="524" t="n"/>
      <c r="B111" s="171" t="inlineStr">
        <is>
          <t>ZACAPA 23</t>
        </is>
      </c>
      <c r="C111" s="112" t="n">
        <v>4246.5</v>
      </c>
      <c r="D111" s="55" t="n">
        <v>4259.5</v>
      </c>
      <c r="E111" s="56" t="n">
        <v>1000</v>
      </c>
      <c r="F111" s="56" t="n">
        <v>50</v>
      </c>
      <c r="G111" s="56" t="n">
        <v>20</v>
      </c>
      <c r="H111" s="39">
        <f>D111/G111</f>
        <v/>
      </c>
      <c r="I111" s="39">
        <f>H111/C111*100</f>
        <v/>
      </c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</row>
    <row r="112">
      <c r="A112" s="524" t="n"/>
      <c r="B112" s="171" t="inlineStr">
        <is>
          <t>PLANTATION WHITE</t>
        </is>
      </c>
      <c r="C112" s="112" t="n">
        <v>4283.5</v>
      </c>
      <c r="D112" s="55" t="n">
        <v>4296.5</v>
      </c>
      <c r="E112" s="56" t="n">
        <v>700</v>
      </c>
      <c r="F112" s="56" t="n">
        <v>50</v>
      </c>
      <c r="G112" s="56" t="n">
        <v>14</v>
      </c>
      <c r="H112" s="39">
        <f>D112/G112</f>
        <v/>
      </c>
      <c r="I112" s="39">
        <f>H112/C112*100</f>
        <v/>
      </c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</row>
    <row r="113">
      <c r="A113" s="524" t="n"/>
      <c r="B113" s="171" t="inlineStr">
        <is>
          <t>PLANTATION DARK</t>
        </is>
      </c>
      <c r="C113" s="112" t="n">
        <v>4320.5</v>
      </c>
      <c r="D113" s="56" t="n">
        <v>4333.5</v>
      </c>
      <c r="E113" s="56" t="n">
        <v>700</v>
      </c>
      <c r="F113" s="56" t="n">
        <v>50</v>
      </c>
      <c r="G113" s="56" t="n">
        <v>14</v>
      </c>
      <c r="H113" s="39">
        <f>D113/G113</f>
        <v/>
      </c>
      <c r="I113" s="39">
        <f>H113/C113*100</f>
        <v/>
      </c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</row>
    <row r="114">
      <c r="A114" s="524" t="n"/>
      <c r="B114" s="54" t="n"/>
      <c r="C114" s="112" t="n"/>
      <c r="D114" s="56" t="n"/>
      <c r="E114" s="56" t="n"/>
      <c r="F114" s="56" t="n"/>
      <c r="G114" s="56" t="n"/>
      <c r="H114" s="56" t="n"/>
      <c r="I114" s="39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</row>
    <row r="115">
      <c r="A115" s="524" t="n"/>
      <c r="B115" s="266" t="inlineStr">
        <is>
          <t>TEQUILA/ТЕКИЛА 50 ml</t>
        </is>
      </c>
      <c r="C115" s="112" t="n"/>
      <c r="D115" s="56" t="n"/>
      <c r="E115" s="56" t="n"/>
      <c r="F115" s="56" t="n"/>
      <c r="G115" s="56" t="n"/>
      <c r="H115" s="56" t="n"/>
      <c r="I115" s="39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</row>
    <row r="116">
      <c r="A116" s="524" t="n"/>
      <c r="B116" s="171" t="inlineStr">
        <is>
          <t>DON JULIO BLANCO</t>
        </is>
      </c>
      <c r="C116" s="112" t="n">
        <v>4431.5</v>
      </c>
      <c r="D116" s="55" t="n">
        <v>4444.5</v>
      </c>
      <c r="E116" s="56" t="n">
        <v>750</v>
      </c>
      <c r="F116" s="56" t="n">
        <v>50</v>
      </c>
      <c r="G116" s="56" t="n">
        <v>15</v>
      </c>
      <c r="H116" s="39">
        <f>D116/G116</f>
        <v/>
      </c>
      <c r="I116" s="39">
        <f>H116/C116*100</f>
        <v/>
      </c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</row>
    <row r="117">
      <c r="A117" s="524" t="n"/>
      <c r="B117" s="171" t="inlineStr">
        <is>
          <t>DON JULIO REPOSADO</t>
        </is>
      </c>
      <c r="C117" s="112" t="n">
        <v>4468.5</v>
      </c>
      <c r="D117" s="55" t="n">
        <v>4481.5</v>
      </c>
      <c r="E117" s="56" t="n">
        <v>750</v>
      </c>
      <c r="F117" s="56" t="n">
        <v>50</v>
      </c>
      <c r="G117" s="56" t="n">
        <v>15</v>
      </c>
      <c r="H117" s="39">
        <f>D117/G117</f>
        <v/>
      </c>
      <c r="I117" s="39">
        <f>H117/C117*100</f>
        <v/>
      </c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</row>
    <row r="118">
      <c r="A118" s="524" t="n"/>
      <c r="B118" s="171" t="inlineStr">
        <is>
          <t>DON JULIO ANEJO</t>
        </is>
      </c>
      <c r="C118" s="112" t="n">
        <v>4505.5</v>
      </c>
      <c r="D118" s="55" t="n">
        <v>4518.5</v>
      </c>
      <c r="E118" s="56" t="n">
        <v>750</v>
      </c>
      <c r="F118" s="56" t="n">
        <v>50</v>
      </c>
      <c r="G118" s="56" t="n">
        <v>15</v>
      </c>
      <c r="H118" s="39">
        <f>D118/G118</f>
        <v/>
      </c>
      <c r="I118" s="39">
        <f>H118/C118*100</f>
        <v/>
      </c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</row>
    <row r="119">
      <c r="A119" s="524" t="n"/>
      <c r="B119" s="171" t="inlineStr">
        <is>
          <t>DON JULIO CRISTALINO ANEJO</t>
        </is>
      </c>
      <c r="C119" s="112" t="n">
        <v>4542.5</v>
      </c>
      <c r="D119" s="55" t="n">
        <v>4555.5</v>
      </c>
      <c r="E119" s="56" t="n">
        <v>750</v>
      </c>
      <c r="F119" s="56" t="n">
        <v>50</v>
      </c>
      <c r="G119" s="56" t="n">
        <v>15</v>
      </c>
      <c r="H119" s="39">
        <f>D119/G119</f>
        <v/>
      </c>
      <c r="I119" s="39">
        <f>H119/C119*100</f>
        <v/>
      </c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</row>
    <row r="120">
      <c r="A120" s="524" t="n"/>
      <c r="B120" s="54" t="inlineStr">
        <is>
          <t>JOSE CUERVO ESPESIAL SILVER</t>
        </is>
      </c>
      <c r="C120" s="112" t="n">
        <v>4579.5</v>
      </c>
      <c r="D120" s="55" t="n">
        <v>4592.5</v>
      </c>
      <c r="E120" s="56" t="n">
        <v>700</v>
      </c>
      <c r="F120" s="56" t="n">
        <v>50</v>
      </c>
      <c r="G120" s="56" t="n">
        <v>15</v>
      </c>
      <c r="H120" s="39">
        <f>D120/G120</f>
        <v/>
      </c>
      <c r="I120" s="39">
        <f>H120/C120*100</f>
        <v/>
      </c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</row>
    <row r="121">
      <c r="A121" s="524" t="n"/>
      <c r="B121" s="54" t="n"/>
      <c r="C121" s="112" t="n"/>
      <c r="D121" s="56" t="n"/>
      <c r="E121" s="56" t="n"/>
      <c r="F121" s="56" t="n"/>
      <c r="G121" s="56" t="n"/>
      <c r="H121" s="56" t="n"/>
      <c r="I121" s="39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</row>
    <row r="122">
      <c r="A122" s="524" t="n"/>
      <c r="B122" s="252" t="inlineStr">
        <is>
          <t>VERMOUTH &amp; APERITIF/ВЕРМУТЫ И АППЕРЕТИВЫ 80 ml</t>
        </is>
      </c>
      <c r="C122" s="112" t="n"/>
      <c r="D122" s="56" t="n"/>
      <c r="E122" s="56" t="n"/>
      <c r="F122" s="56" t="n"/>
      <c r="G122" s="56" t="n"/>
      <c r="H122" s="56" t="n"/>
      <c r="I122" s="39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</row>
    <row r="123">
      <c r="A123" s="524" t="n"/>
      <c r="B123" s="54" t="inlineStr">
        <is>
          <t xml:space="preserve">MARTINI BIANCO </t>
        </is>
      </c>
      <c r="C123" s="112" t="n">
        <v>4690.5</v>
      </c>
      <c r="D123" s="56" t="n">
        <v>4703.5</v>
      </c>
      <c r="E123" s="56" t="n">
        <v>1000</v>
      </c>
      <c r="F123" s="56" t="n">
        <v>100</v>
      </c>
      <c r="G123" s="56" t="n">
        <v>20</v>
      </c>
      <c r="H123" s="39">
        <f>D123/G123</f>
        <v/>
      </c>
      <c r="I123" s="39">
        <f>H123/C123*100</f>
        <v/>
      </c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</row>
    <row r="124">
      <c r="A124" s="524" t="n"/>
      <c r="B124" s="54" t="inlineStr">
        <is>
          <t xml:space="preserve">MARTINI ROSSO </t>
        </is>
      </c>
      <c r="C124" s="112" t="n">
        <v>4727.5</v>
      </c>
      <c r="D124" s="56" t="n">
        <v>4740.5</v>
      </c>
      <c r="E124" s="56" t="n">
        <v>1000</v>
      </c>
      <c r="F124" s="56" t="n">
        <v>100</v>
      </c>
      <c r="G124" s="56" t="n">
        <v>20</v>
      </c>
      <c r="H124" s="39">
        <f>D124/G124</f>
        <v/>
      </c>
      <c r="I124" s="39">
        <f>H124/C124*100</f>
        <v/>
      </c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</row>
    <row r="125">
      <c r="A125" s="524" t="n"/>
      <c r="B125" s="54" t="inlineStr">
        <is>
          <t xml:space="preserve">MARTINI EXTRA DRY </t>
        </is>
      </c>
      <c r="C125" s="112" t="n">
        <v>4764.5</v>
      </c>
      <c r="D125" s="56" t="n">
        <v>4777.5</v>
      </c>
      <c r="E125" s="56" t="n">
        <v>1000</v>
      </c>
      <c r="F125" s="56" t="n">
        <v>100</v>
      </c>
      <c r="G125" s="56" t="n">
        <v>20</v>
      </c>
      <c r="H125" s="39">
        <f>D125/G125</f>
        <v/>
      </c>
      <c r="I125" s="39">
        <f>H125/C125*100</f>
        <v/>
      </c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</row>
    <row r="126">
      <c r="A126" s="524" t="n"/>
      <c r="B126" s="54" t="inlineStr">
        <is>
          <t>MARTINI FIERO</t>
        </is>
      </c>
      <c r="C126" s="112" t="n">
        <v>4801.5</v>
      </c>
      <c r="D126" s="56" t="n">
        <v>4814.5</v>
      </c>
      <c r="E126" s="56" t="n">
        <v>1000</v>
      </c>
      <c r="F126" s="56" t="n">
        <v>100</v>
      </c>
      <c r="G126" s="56" t="n">
        <v>20</v>
      </c>
      <c r="H126" s="39">
        <f>D126/G126</f>
        <v/>
      </c>
      <c r="I126" s="39">
        <f>H126/C126*100</f>
        <v/>
      </c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</row>
    <row r="127">
      <c r="A127" s="524" t="n"/>
      <c r="B127" s="54" t="inlineStr">
        <is>
          <t>MARTINI BITTER</t>
        </is>
      </c>
      <c r="C127" s="112" t="n">
        <v>4838.5</v>
      </c>
      <c r="D127" s="56" t="n">
        <v>4851.5</v>
      </c>
      <c r="E127" s="56" t="n">
        <v>1000</v>
      </c>
      <c r="F127" s="56" t="n">
        <v>50</v>
      </c>
      <c r="G127" s="56" t="n">
        <v>20</v>
      </c>
      <c r="H127" s="39">
        <f>D127/G127</f>
        <v/>
      </c>
      <c r="I127" s="39">
        <f>H127/C127*100</f>
        <v/>
      </c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</row>
    <row r="128">
      <c r="A128" s="524" t="n"/>
      <c r="B128" s="54" t="inlineStr">
        <is>
          <t>MARTINI RESERVA RUBINO</t>
        </is>
      </c>
      <c r="C128" s="112" t="n">
        <v>4875.5</v>
      </c>
      <c r="D128" s="56" t="n">
        <v>4888.5</v>
      </c>
      <c r="E128" s="56" t="n">
        <v>750</v>
      </c>
      <c r="F128" s="56" t="n">
        <v>100</v>
      </c>
      <c r="G128" s="56" t="n">
        <v>15</v>
      </c>
      <c r="H128" s="39">
        <f>D128/G128</f>
        <v/>
      </c>
      <c r="I128" s="39">
        <f>H128/C128*100</f>
        <v/>
      </c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</row>
    <row r="129">
      <c r="A129" s="524" t="n"/>
      <c r="B129" s="54" t="inlineStr">
        <is>
          <t>MARTINI RESERVA AMBRATO</t>
        </is>
      </c>
      <c r="C129" s="112" t="n">
        <v>4912.5</v>
      </c>
      <c r="D129" s="56" t="n">
        <v>4925.5</v>
      </c>
      <c r="E129" s="56" t="n">
        <v>750</v>
      </c>
      <c r="F129" s="56" t="n">
        <v>100</v>
      </c>
      <c r="G129" s="56" t="n">
        <v>15</v>
      </c>
      <c r="H129" s="39">
        <f>D129/G129</f>
        <v/>
      </c>
      <c r="I129" s="39">
        <f>H129/C129*100</f>
        <v/>
      </c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</row>
    <row r="130">
      <c r="A130" s="524" t="n"/>
      <c r="B130" s="54" t="inlineStr">
        <is>
          <t>CAMPARI 50 ml</t>
        </is>
      </c>
      <c r="C130" s="112" t="n">
        <v>4949.5</v>
      </c>
      <c r="D130" s="55" t="n">
        <v>4962.5</v>
      </c>
      <c r="E130" s="56" t="n">
        <v>1000</v>
      </c>
      <c r="F130" s="56" t="n">
        <v>50</v>
      </c>
      <c r="G130" s="56" t="n">
        <v>20</v>
      </c>
      <c r="H130" s="39">
        <f>D130/G130</f>
        <v/>
      </c>
      <c r="I130" s="39">
        <f>H130/C130*100</f>
        <v/>
      </c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</row>
    <row r="131">
      <c r="A131" s="524" t="n"/>
      <c r="B131" s="54" t="inlineStr">
        <is>
          <t>APEROL 50 ml</t>
        </is>
      </c>
      <c r="C131" s="112" t="n">
        <v>4986.5</v>
      </c>
      <c r="D131" s="55" t="n">
        <v>4999.5</v>
      </c>
      <c r="E131" s="56" t="n">
        <v>1000</v>
      </c>
      <c r="F131" s="56" t="n">
        <v>50</v>
      </c>
      <c r="G131" s="56" t="n">
        <v>20</v>
      </c>
      <c r="H131" s="39">
        <f>D131/G131</f>
        <v/>
      </c>
      <c r="I131" s="39">
        <f>H131/C131*100</f>
        <v/>
      </c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</row>
    <row r="132">
      <c r="A132" s="524" t="n"/>
      <c r="B132" s="54" t="inlineStr">
        <is>
          <t>MARTINI FIERO &amp; TONIC</t>
        </is>
      </c>
      <c r="C132" s="112" t="n">
        <v>123.5</v>
      </c>
      <c r="D132" s="56" t="n"/>
      <c r="E132" s="56" t="n"/>
      <c r="F132" s="56" t="n"/>
      <c r="G132" s="56" t="n"/>
      <c r="H132" s="56" t="n"/>
      <c r="I132" s="39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</row>
    <row r="133">
      <c r="A133" s="524" t="n"/>
      <c r="B133" s="54" t="n"/>
      <c r="C133" s="112" t="n"/>
      <c r="D133" s="56" t="n"/>
      <c r="E133" s="56" t="n"/>
      <c r="F133" s="56" t="n"/>
      <c r="G133" s="56" t="n"/>
      <c r="H133" s="56" t="n"/>
      <c r="I133" s="39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</row>
    <row r="134">
      <c r="A134" s="524" t="n"/>
      <c r="B134" s="266" t="inlineStr">
        <is>
          <t>LIQUER/ЛИКЁРЫ 50 ml</t>
        </is>
      </c>
      <c r="C134" s="112" t="n"/>
      <c r="D134" s="56" t="n"/>
      <c r="E134" s="56" t="n"/>
      <c r="F134" s="56" t="n"/>
      <c r="G134" s="56" t="n"/>
      <c r="H134" s="56" t="n"/>
      <c r="I134" s="39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</row>
    <row r="135">
      <c r="A135" s="524" t="n"/>
      <c r="B135" s="171" t="inlineStr">
        <is>
          <t>BAILEYS</t>
        </is>
      </c>
      <c r="C135" s="112" t="n">
        <v>234.5</v>
      </c>
      <c r="D135" s="55" t="n">
        <v>247.5</v>
      </c>
      <c r="E135" s="56" t="n">
        <v>1000</v>
      </c>
      <c r="F135" s="56" t="n">
        <v>50</v>
      </c>
      <c r="G135" s="56" t="n">
        <v>20</v>
      </c>
      <c r="H135" s="39">
        <f>D135/G135</f>
        <v/>
      </c>
      <c r="I135" s="39">
        <f>H135/C135*100</f>
        <v/>
      </c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</row>
    <row r="136">
      <c r="A136" s="524" t="n"/>
      <c r="B136" s="171" t="inlineStr">
        <is>
          <t>KAHLUA</t>
        </is>
      </c>
      <c r="C136" s="112" t="n">
        <v>271.5</v>
      </c>
      <c r="D136" s="55" t="n">
        <v>284.5</v>
      </c>
      <c r="E136" s="56" t="n">
        <v>1000</v>
      </c>
      <c r="F136" s="56" t="n">
        <v>50</v>
      </c>
      <c r="G136" s="56" t="n">
        <v>20</v>
      </c>
      <c r="H136" s="39">
        <f>D136/G136</f>
        <v/>
      </c>
      <c r="I136" s="39">
        <f>H136/C136*100</f>
        <v/>
      </c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</row>
    <row r="137">
      <c r="A137" s="524" t="n"/>
      <c r="B137" s="171" t="inlineStr">
        <is>
          <t>GRAND MARNIER</t>
        </is>
      </c>
      <c r="C137" s="112" t="n">
        <v>308.5</v>
      </c>
      <c r="D137" s="55" t="n">
        <v>321.5</v>
      </c>
      <c r="E137" s="56" t="n">
        <v>700</v>
      </c>
      <c r="F137" s="56" t="n">
        <v>50</v>
      </c>
      <c r="G137" s="56" t="n">
        <v>14</v>
      </c>
      <c r="H137" s="39">
        <f>D137/G137</f>
        <v/>
      </c>
      <c r="I137" s="39">
        <f>H137/C137*100</f>
        <v/>
      </c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</row>
    <row r="138">
      <c r="A138" s="524" t="n"/>
      <c r="B138" s="119" t="inlineStr">
        <is>
          <t>LIMONCELLO</t>
        </is>
      </c>
      <c r="C138" s="112" t="n">
        <v>345.5</v>
      </c>
      <c r="D138" s="55" t="n">
        <v>358.5</v>
      </c>
      <c r="E138" s="56" t="n">
        <v>500</v>
      </c>
      <c r="F138" s="56" t="n">
        <v>50</v>
      </c>
      <c r="G138" s="56" t="n">
        <v>10</v>
      </c>
      <c r="H138" s="39">
        <f>D138/G138</f>
        <v/>
      </c>
      <c r="I138" s="39">
        <f>H138/C138*100</f>
        <v/>
      </c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</row>
    <row r="139">
      <c r="A139" s="524" t="n"/>
      <c r="B139" s="266" t="n"/>
      <c r="C139" s="112" t="n"/>
      <c r="D139" s="55" t="n"/>
      <c r="E139" s="56" t="n"/>
      <c r="F139" s="56" t="n"/>
      <c r="G139" s="56" t="n"/>
      <c r="H139" s="56" t="n"/>
      <c r="I139" s="39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</row>
    <row r="140">
      <c r="A140" s="524" t="n"/>
      <c r="B140" s="266" t="inlineStr">
        <is>
          <t>BITTERS/БИТТЕРЫ 50 ml</t>
        </is>
      </c>
      <c r="C140" s="112" t="n"/>
      <c r="D140" s="55" t="n"/>
      <c r="E140" s="56" t="n"/>
      <c r="F140" s="56" t="n"/>
      <c r="G140" s="56" t="n"/>
      <c r="H140" s="56" t="n"/>
      <c r="I140" s="39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</row>
    <row r="141">
      <c r="A141" s="524" t="n"/>
      <c r="B141" s="171" t="inlineStr">
        <is>
          <t xml:space="preserve">JAGERMASTER </t>
        </is>
      </c>
      <c r="C141" s="112" t="n">
        <v>456.5</v>
      </c>
      <c r="D141" s="55" t="n">
        <v>469.5</v>
      </c>
      <c r="E141" s="56" t="n">
        <v>1000</v>
      </c>
      <c r="F141" s="56" t="n">
        <v>50</v>
      </c>
      <c r="G141" s="56" t="n">
        <v>20</v>
      </c>
      <c r="H141" s="39">
        <f>D141/G141</f>
        <v/>
      </c>
      <c r="I141" s="39">
        <f>H141/C141*100</f>
        <v/>
      </c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</row>
    <row r="142">
      <c r="A142" s="524" t="n"/>
      <c r="B142" s="171" t="inlineStr">
        <is>
          <t>FERNET-BRANCA</t>
        </is>
      </c>
      <c r="C142" s="112" t="n">
        <v>493.5</v>
      </c>
      <c r="D142" s="55" t="n">
        <v>506.5</v>
      </c>
      <c r="E142" s="56" t="n">
        <v>700</v>
      </c>
      <c r="F142" s="56" t="n">
        <v>50</v>
      </c>
      <c r="G142" s="56" t="n">
        <v>14</v>
      </c>
      <c r="H142" s="39">
        <f>D142/G142</f>
        <v/>
      </c>
      <c r="I142" s="39">
        <f>H142/C142*100</f>
        <v/>
      </c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</row>
    <row r="143">
      <c r="A143" s="524" t="n"/>
      <c r="B143" s="171" t="inlineStr">
        <is>
          <t>BRANCA MENTA</t>
        </is>
      </c>
      <c r="C143" s="112" t="n">
        <v>530.5</v>
      </c>
      <c r="D143" s="55" t="n">
        <v>543.5</v>
      </c>
      <c r="E143" s="56" t="n">
        <v>700</v>
      </c>
      <c r="F143" s="56" t="n">
        <v>50</v>
      </c>
      <c r="G143" s="56" t="n">
        <v>15</v>
      </c>
      <c r="H143" s="39">
        <f>D143/G143</f>
        <v/>
      </c>
      <c r="I143" s="39">
        <f>H143/C143*100</f>
        <v/>
      </c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</row>
    <row r="144">
      <c r="A144" s="524" t="n"/>
      <c r="B144" s="54" t="n"/>
      <c r="C144" s="112" t="n"/>
      <c r="D144" s="55" t="n"/>
      <c r="E144" s="56" t="n"/>
      <c r="F144" s="56" t="n"/>
      <c r="G144" s="56" t="n"/>
      <c r="H144" s="56" t="n"/>
      <c r="I144" s="39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</row>
    <row r="145">
      <c r="A145" s="524" t="n"/>
      <c r="B145" s="266" t="inlineStr">
        <is>
          <t>AMARO/АМАРО 50 ml</t>
        </is>
      </c>
      <c r="C145" s="112" t="n"/>
      <c r="D145" s="55" t="n"/>
      <c r="E145" s="56" t="n"/>
      <c r="F145" s="56" t="n"/>
      <c r="G145" s="56" t="n"/>
      <c r="H145" s="56" t="n"/>
      <c r="I145" s="39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</row>
    <row r="146">
      <c r="A146" s="524" t="n"/>
      <c r="B146" s="54" t="inlineStr">
        <is>
          <t>AMARO MONTENEGRO</t>
        </is>
      </c>
      <c r="C146" s="112" t="n">
        <v>641.5</v>
      </c>
      <c r="D146" s="55" t="n">
        <v>654.5</v>
      </c>
      <c r="E146" s="56" t="n">
        <v>750</v>
      </c>
      <c r="F146" s="56" t="n">
        <v>50</v>
      </c>
      <c r="G146" s="56" t="n">
        <v>15</v>
      </c>
      <c r="H146" s="39">
        <f>D146/G146</f>
        <v/>
      </c>
      <c r="I146" s="39">
        <f>H146/C146*100</f>
        <v/>
      </c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</row>
    <row r="147">
      <c r="A147" s="524" t="n"/>
      <c r="B147" s="54" t="inlineStr">
        <is>
          <t>NONINO AMARO QUINTSSENTIA</t>
        </is>
      </c>
      <c r="C147" s="112" t="n">
        <v>678.5</v>
      </c>
      <c r="D147" s="55" t="n">
        <v>691.5</v>
      </c>
      <c r="E147" s="56" t="n">
        <v>750</v>
      </c>
      <c r="F147" s="56" t="n">
        <v>50</v>
      </c>
      <c r="G147" s="56" t="n">
        <v>15</v>
      </c>
      <c r="H147" s="39">
        <f>D147/G147</f>
        <v/>
      </c>
      <c r="I147" s="39">
        <f>H147/C147*100</f>
        <v/>
      </c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</row>
    <row r="148">
      <c r="A148" s="524" t="n"/>
      <c r="B148" s="54" t="inlineStr">
        <is>
          <t>AMARO SANTONI</t>
        </is>
      </c>
      <c r="C148" s="112" t="n">
        <v>715.5</v>
      </c>
      <c r="D148" s="55" t="n">
        <v>728.5</v>
      </c>
      <c r="E148" s="56" t="n">
        <v>750</v>
      </c>
      <c r="F148" s="56" t="n">
        <v>50</v>
      </c>
      <c r="G148" s="56" t="n">
        <v>15</v>
      </c>
      <c r="H148" s="39">
        <f>D148/G148</f>
        <v/>
      </c>
      <c r="I148" s="39">
        <f>H148/C148*100</f>
        <v/>
      </c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</row>
    <row r="149">
      <c r="A149" s="524" t="n"/>
      <c r="B149" s="54" t="n"/>
      <c r="C149" s="112" t="n"/>
      <c r="D149" s="55" t="n"/>
      <c r="E149" s="56" t="n"/>
      <c r="F149" s="56" t="n"/>
      <c r="G149" s="56" t="n"/>
      <c r="H149" s="56" t="n"/>
      <c r="I149" s="39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</row>
    <row r="150">
      <c r="A150" s="524" t="n"/>
      <c r="B150" s="266" t="inlineStr">
        <is>
          <t>PORTO/ПОРТВЕЙН 50 ml</t>
        </is>
      </c>
      <c r="C150" s="112" t="n"/>
      <c r="D150" s="56" t="n"/>
      <c r="E150" s="56" t="n"/>
      <c r="F150" s="56" t="n"/>
      <c r="G150" s="56" t="n"/>
      <c r="H150" s="56" t="n"/>
      <c r="I150" s="39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</row>
    <row r="151">
      <c r="A151" s="524" t="n"/>
      <c r="B151" s="54" t="inlineStr">
        <is>
          <t>GRAHAM'S 10 YO TAWNY</t>
        </is>
      </c>
      <c r="C151" s="112" t="n">
        <v>826.5</v>
      </c>
      <c r="D151" s="56" t="n">
        <v>839.5</v>
      </c>
      <c r="E151" s="56" t="n">
        <v>750</v>
      </c>
      <c r="F151" s="56" t="n">
        <v>50</v>
      </c>
      <c r="G151" s="56" t="n">
        <v>15</v>
      </c>
      <c r="H151" s="39">
        <f>D151/G151</f>
        <v/>
      </c>
      <c r="I151" s="39">
        <f>H151/C151*100</f>
        <v/>
      </c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</row>
    <row r="152">
      <c r="A152" s="524" t="n"/>
      <c r="B152" s="54" t="n"/>
      <c r="C152" s="112" t="n"/>
      <c r="D152" s="56" t="n"/>
      <c r="E152" s="56" t="n"/>
      <c r="F152" s="56" t="n"/>
      <c r="G152" s="56" t="n"/>
      <c r="H152" s="56" t="n"/>
      <c r="I152" s="39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</row>
    <row r="153">
      <c r="A153" s="524" t="n"/>
      <c r="B153" s="266" t="inlineStr">
        <is>
          <t>SHERRY/ХЕРЕС 50 ml</t>
        </is>
      </c>
      <c r="C153" s="112" t="n"/>
      <c r="D153" s="56" t="n"/>
      <c r="E153" s="56" t="n"/>
      <c r="F153" s="56" t="n"/>
      <c r="G153" s="56" t="n"/>
      <c r="H153" s="56" t="n"/>
      <c r="I153" s="39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</row>
    <row r="154">
      <c r="A154" s="524" t="n"/>
      <c r="B154" s="54" t="inlineStr">
        <is>
          <t>BARBADILLO FINO</t>
        </is>
      </c>
      <c r="C154" s="112" t="n">
        <v>937.5</v>
      </c>
      <c r="D154" s="56" t="n">
        <v>950.5</v>
      </c>
      <c r="E154" s="56" t="n">
        <v>750</v>
      </c>
      <c r="F154" s="56" t="n">
        <v>50</v>
      </c>
      <c r="G154" s="56" t="n">
        <v>15</v>
      </c>
      <c r="H154" s="39">
        <f>D154/G154</f>
        <v/>
      </c>
      <c r="I154" s="39">
        <f>H154/C154*100</f>
        <v/>
      </c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</row>
    <row r="155">
      <c r="A155" s="524" t="n"/>
      <c r="B155" s="54" t="inlineStr">
        <is>
          <t>BARBADILLO PEDRO XIMENEZ</t>
        </is>
      </c>
      <c r="C155" s="112" t="n">
        <v>974.5</v>
      </c>
      <c r="D155" s="56" t="n">
        <v>987.5</v>
      </c>
      <c r="E155" s="56" t="n">
        <v>750</v>
      </c>
      <c r="F155" s="56" t="n">
        <v>50</v>
      </c>
      <c r="G155" s="56" t="n">
        <v>15</v>
      </c>
      <c r="H155" s="39">
        <f>D155/G155</f>
        <v/>
      </c>
      <c r="I155" s="39">
        <f>H155/C155*100</f>
        <v/>
      </c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</row>
    <row r="156">
      <c r="A156" s="524" t="n"/>
      <c r="B156" s="54" t="inlineStr">
        <is>
          <t>VALDESPINO FINO INOCENTE</t>
        </is>
      </c>
      <c r="C156" s="112" t="n">
        <v>1011.5</v>
      </c>
      <c r="D156" s="56" t="n">
        <v>1024.5</v>
      </c>
      <c r="E156" s="56" t="n">
        <v>750</v>
      </c>
      <c r="F156" s="56" t="n">
        <v>50</v>
      </c>
      <c r="G156" s="56" t="n">
        <v>15</v>
      </c>
      <c r="H156" s="39">
        <f>D156/G156</f>
        <v/>
      </c>
      <c r="I156" s="39">
        <f>H156/C156*100</f>
        <v/>
      </c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</row>
    <row r="157">
      <c r="A157" s="524" t="n"/>
      <c r="B157" s="266" t="n"/>
      <c r="C157" s="112" t="n"/>
      <c r="D157" s="56" t="n"/>
      <c r="E157" s="56" t="n"/>
      <c r="F157" s="56" t="n"/>
      <c r="G157" s="56" t="n"/>
      <c r="H157" s="56" t="n"/>
      <c r="I157" s="39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</row>
    <row r="158">
      <c r="A158" s="524" t="n"/>
      <c r="B158" s="266" t="inlineStr">
        <is>
          <t>DRAFT BEER/РОЗЛИВНОЕ ПИВО 300 / 500 ml</t>
        </is>
      </c>
      <c r="C158" s="112" t="n"/>
      <c r="D158" s="56" t="n"/>
      <c r="E158" s="56" t="n"/>
      <c r="F158" s="56" t="n"/>
      <c r="G158" s="56" t="n"/>
      <c r="H158" s="56" t="n"/>
      <c r="I158" s="39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</row>
    <row r="159">
      <c r="A159" s="524" t="n"/>
      <c r="B159" s="54" t="inlineStr">
        <is>
          <t>INVASION WEISSE</t>
        </is>
      </c>
      <c r="C159" s="112" t="inlineStr">
        <is>
          <t>350 /500</t>
        </is>
      </c>
      <c r="D159" s="56" t="n">
        <v>1135.5</v>
      </c>
      <c r="E159" s="56" t="n">
        <v>20000</v>
      </c>
      <c r="F159" s="56" t="n"/>
      <c r="G159" s="56" t="n"/>
      <c r="H159" s="56" t="n"/>
      <c r="I159" s="39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</row>
    <row r="160">
      <c r="A160" s="524" t="n"/>
      <c r="B160" s="54" t="inlineStr">
        <is>
          <t xml:space="preserve">INVASION </t>
        </is>
      </c>
      <c r="C160" s="112" t="inlineStr">
        <is>
          <t>350 /500</t>
        </is>
      </c>
      <c r="D160" s="56" t="n">
        <v>1172.5</v>
      </c>
      <c r="E160" s="56" t="n">
        <v>20000</v>
      </c>
      <c r="F160" s="56" t="n"/>
      <c r="G160" s="56" t="n"/>
      <c r="H160" s="56" t="n"/>
      <c r="I160" s="39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</row>
    <row r="161">
      <c r="A161" s="524" t="n"/>
      <c r="B161" s="54" t="n"/>
      <c r="C161" s="112" t="n"/>
      <c r="D161" s="56" t="n"/>
      <c r="E161" s="56" t="n"/>
      <c r="F161" s="56" t="n"/>
      <c r="G161" s="56" t="n"/>
      <c r="H161" s="56" t="n"/>
      <c r="I161" s="39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</row>
    <row r="162">
      <c r="A162" s="524" t="n"/>
      <c r="B162" s="177" t="inlineStr">
        <is>
          <t>BOTTLED BEER/ПИВО БУТЫЛОЧНОЕ</t>
        </is>
      </c>
      <c r="C162" s="112" t="n"/>
      <c r="D162" s="56" t="n"/>
      <c r="E162" s="56" t="n"/>
      <c r="F162" s="56" t="n"/>
      <c r="G162" s="56" t="n"/>
      <c r="H162" s="56" t="n"/>
      <c r="I162" s="39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</row>
    <row r="163">
      <c r="A163" s="524" t="n"/>
      <c r="B163" s="54" t="inlineStr">
        <is>
          <t>LUCKY BUDDHA 0,33</t>
        </is>
      </c>
      <c r="C163" s="112" t="n">
        <v>1270.5</v>
      </c>
      <c r="D163" s="56" t="n">
        <v>1283.5</v>
      </c>
      <c r="E163" s="56" t="n">
        <v>24</v>
      </c>
      <c r="F163" s="56" t="n">
        <v>1</v>
      </c>
      <c r="G163" s="56" t="n">
        <v>24</v>
      </c>
      <c r="H163" s="39">
        <f>D163/G163</f>
        <v/>
      </c>
      <c r="I163" s="39">
        <f>H163/C163*100</f>
        <v/>
      </c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</row>
    <row r="164">
      <c r="A164" s="524" t="n"/>
      <c r="B164" s="54" t="inlineStr">
        <is>
          <t>SCHOFFERHOFER 0,5</t>
        </is>
      </c>
      <c r="C164" s="112" t="n">
        <v>1307.5</v>
      </c>
      <c r="D164" s="56" t="n">
        <v>1320.5</v>
      </c>
      <c r="E164" s="56" t="n">
        <v>18</v>
      </c>
      <c r="F164" s="56" t="n">
        <v>1</v>
      </c>
      <c r="G164" s="56" t="n">
        <v>18</v>
      </c>
      <c r="H164" s="39">
        <f>D164/G164</f>
        <v/>
      </c>
      <c r="I164" s="39">
        <f>H164/C164*100</f>
        <v/>
      </c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</row>
    <row r="165">
      <c r="A165" s="524" t="n"/>
      <c r="B165" s="54" t="inlineStr">
        <is>
          <t>PERONI 0,33</t>
        </is>
      </c>
      <c r="C165" s="112" t="n">
        <v>1344.5</v>
      </c>
      <c r="D165" s="56" t="n">
        <v>1357.5</v>
      </c>
      <c r="E165" s="56" t="n">
        <v>24</v>
      </c>
      <c r="F165" s="56" t="n">
        <v>1</v>
      </c>
      <c r="G165" s="56" t="n">
        <v>24</v>
      </c>
      <c r="H165" s="39">
        <f>D165/G165</f>
        <v/>
      </c>
      <c r="I165" s="39">
        <f>H165/C165*100</f>
        <v/>
      </c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</row>
    <row r="166">
      <c r="A166" s="524" t="n"/>
      <c r="B166" s="54" t="inlineStr">
        <is>
          <t>GUINNESS 0,5</t>
        </is>
      </c>
      <c r="C166" s="112" t="n">
        <v>1381.5</v>
      </c>
      <c r="D166" s="56" t="n">
        <v>1394.5</v>
      </c>
      <c r="E166" s="56" t="n">
        <v>24</v>
      </c>
      <c r="F166" s="56" t="n">
        <v>1</v>
      </c>
      <c r="G166" s="56" t="n">
        <v>24</v>
      </c>
      <c r="H166" s="39">
        <f>D166/G166</f>
        <v/>
      </c>
      <c r="I166" s="39">
        <f>H166/C166*100</f>
        <v/>
      </c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</row>
    <row r="167">
      <c r="A167" s="524" t="n"/>
      <c r="B167" s="54" t="inlineStr">
        <is>
          <t>CLAUSTHALER NON ALCOHOLIC 0,33</t>
        </is>
      </c>
      <c r="C167" s="112" t="n">
        <v>1418.5</v>
      </c>
      <c r="D167" s="56" t="n">
        <v>1431.5</v>
      </c>
      <c r="E167" s="56" t="n">
        <v>24</v>
      </c>
      <c r="F167" s="56" t="n">
        <v>1</v>
      </c>
      <c r="G167" s="56" t="n">
        <v>24</v>
      </c>
      <c r="H167" s="39">
        <f>D167/G167</f>
        <v/>
      </c>
      <c r="I167" s="39">
        <f>H167/C167*100</f>
        <v/>
      </c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</row>
    <row r="168">
      <c r="A168" s="524" t="n"/>
      <c r="B168" s="54" t="n"/>
      <c r="C168" s="112" t="n"/>
      <c r="D168" s="56" t="n"/>
      <c r="E168" s="56" t="n"/>
      <c r="F168" s="56" t="n"/>
      <c r="G168" s="56" t="n"/>
      <c r="H168" s="56" t="n"/>
      <c r="I168" s="39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</row>
    <row r="169">
      <c r="A169" s="524" t="n"/>
      <c r="B169" s="177" t="inlineStr">
        <is>
          <t>WATER/ВОДА</t>
        </is>
      </c>
      <c r="C169" s="112" t="n"/>
      <c r="D169" s="56" t="n"/>
      <c r="E169" s="56" t="n"/>
      <c r="F169" s="56" t="n"/>
      <c r="G169" s="56" t="n"/>
      <c r="H169" s="56" t="n"/>
      <c r="I169" s="39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</row>
    <row r="170">
      <c r="A170" s="524" t="n"/>
      <c r="B170" s="171" t="inlineStr">
        <is>
          <t>ACQUA PANNA</t>
        </is>
      </c>
      <c r="C170" s="112" t="inlineStr">
        <is>
          <t>700 / 1100</t>
        </is>
      </c>
      <c r="D170" s="56" t="n"/>
      <c r="E170" s="55" t="n"/>
      <c r="F170" s="56" t="n"/>
      <c r="G170" s="56" t="n"/>
      <c r="H170" s="56" t="n"/>
      <c r="I170" s="39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</row>
    <row r="171">
      <c r="A171" s="524" t="n"/>
      <c r="B171" s="171" t="inlineStr">
        <is>
          <t>SAN PELEGRINO</t>
        </is>
      </c>
      <c r="C171" s="112" t="inlineStr">
        <is>
          <t>700 / 1100</t>
        </is>
      </c>
      <c r="D171" s="56" t="n"/>
      <c r="E171" s="55" t="n"/>
      <c r="F171" s="56" t="n"/>
      <c r="G171" s="56" t="n"/>
      <c r="H171" s="56" t="n"/>
      <c r="I171" s="39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</row>
    <row r="172">
      <c r="A172" s="524" t="n"/>
      <c r="B172" s="54" t="n"/>
      <c r="C172" s="112" t="n"/>
      <c r="D172" s="56" t="n"/>
      <c r="E172" s="56" t="n"/>
      <c r="F172" s="56" t="n"/>
      <c r="G172" s="56" t="n"/>
      <c r="H172" s="56" t="n"/>
      <c r="I172" s="39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</row>
    <row r="173">
      <c r="A173" s="524" t="n"/>
      <c r="B173" s="177" t="inlineStr">
        <is>
          <t>SOFT DRINKS/БЕЗАЛКОГОЛЬНЫЕ НАПИТКИ</t>
        </is>
      </c>
      <c r="C173" s="112" t="n"/>
      <c r="D173" s="56" t="n"/>
      <c r="E173" s="56" t="n"/>
      <c r="F173" s="56" t="n"/>
      <c r="G173" s="56" t="n"/>
      <c r="H173" s="56" t="n"/>
      <c r="I173" s="39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</row>
    <row r="174">
      <c r="A174" s="524" t="n"/>
      <c r="B174" s="171" t="inlineStr">
        <is>
          <t>COCA COLA</t>
        </is>
      </c>
      <c r="C174" s="112" t="n">
        <v>1677.5</v>
      </c>
      <c r="D174" s="56" t="n">
        <v>1690.5</v>
      </c>
      <c r="E174" s="56" t="n"/>
      <c r="F174" s="56" t="n"/>
      <c r="G174" s="56" t="n"/>
      <c r="H174" s="56" t="n"/>
      <c r="I174" s="39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</row>
    <row r="175">
      <c r="A175" s="524" t="n"/>
      <c r="B175" s="171" t="inlineStr">
        <is>
          <t>COCA COLA ZERO</t>
        </is>
      </c>
      <c r="C175" s="112" t="n">
        <v>1714.5</v>
      </c>
      <c r="D175" s="56" t="n">
        <v>1727.5</v>
      </c>
      <c r="E175" s="56" t="n"/>
      <c r="F175" s="56" t="n"/>
      <c r="G175" s="56" t="n"/>
      <c r="H175" s="56" t="n"/>
      <c r="I175" s="39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</row>
    <row r="176">
      <c r="A176" s="524" t="n"/>
      <c r="B176" s="171" t="inlineStr">
        <is>
          <t>COCA COLA MEXICO</t>
        </is>
      </c>
      <c r="C176" s="112" t="n">
        <v>1751.5</v>
      </c>
      <c r="D176" s="56" t="n">
        <v>1764.5</v>
      </c>
      <c r="E176" s="56" t="n"/>
      <c r="F176" s="56" t="n"/>
      <c r="G176" s="56" t="n"/>
      <c r="H176" s="56" t="n"/>
      <c r="I176" s="39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</row>
    <row r="177">
      <c r="A177" s="524" t="n"/>
      <c r="B177" s="171" t="inlineStr">
        <is>
          <t>TONIC</t>
        </is>
      </c>
      <c r="C177" s="112" t="n">
        <v>1788.5</v>
      </c>
      <c r="D177" s="56" t="n"/>
      <c r="E177" s="56" t="n"/>
      <c r="F177" s="56" t="n"/>
      <c r="G177" s="56" t="n"/>
      <c r="H177" s="56" t="n"/>
      <c r="I177" s="39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</row>
    <row r="178">
      <c r="A178" s="524" t="n"/>
      <c r="B178" s="171" t="inlineStr">
        <is>
          <t>COLA FANKY MONKEY</t>
        </is>
      </c>
      <c r="C178" s="112" t="n">
        <v>1825.5</v>
      </c>
      <c r="D178" s="56" t="n"/>
      <c r="E178" s="56" t="n"/>
      <c r="F178" s="56" t="n"/>
      <c r="G178" s="56" t="n"/>
      <c r="H178" s="56" t="n"/>
      <c r="I178" s="39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</row>
    <row r="179">
      <c r="A179" s="524" t="n"/>
      <c r="B179" s="171" t="inlineStr">
        <is>
          <t>JUICES ( RICH 0,2 ML )</t>
        </is>
      </c>
      <c r="C179" s="112" t="n">
        <v>1862.5</v>
      </c>
      <c r="D179" s="56" t="n"/>
      <c r="E179" s="56" t="n"/>
      <c r="F179" s="56" t="n"/>
      <c r="G179" s="56" t="n"/>
      <c r="H179" s="56" t="n"/>
      <c r="I179" s="39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</row>
    <row r="180">
      <c r="A180" s="524" t="n"/>
      <c r="B180" s="54" t="inlineStr">
        <is>
          <t xml:space="preserve">RED BULL </t>
        </is>
      </c>
      <c r="C180" s="112" t="n">
        <v>1899.5</v>
      </c>
      <c r="D180" s="56" t="n"/>
      <c r="E180" s="56" t="n"/>
      <c r="F180" s="56" t="n"/>
      <c r="G180" s="56" t="n"/>
      <c r="H180" s="56" t="n"/>
      <c r="I180" s="39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</row>
    <row r="181">
      <c r="A181" s="524" t="n"/>
      <c r="B181" s="54" t="n"/>
      <c r="C181" s="112" t="n"/>
      <c r="D181" s="56" t="n"/>
      <c r="E181" s="56" t="n"/>
      <c r="F181" s="56" t="n"/>
      <c r="G181" s="56" t="n"/>
      <c r="H181" s="56" t="n"/>
      <c r="I181" s="39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</row>
    <row r="182">
      <c r="A182" s="524" t="n"/>
      <c r="B182" s="266" t="inlineStr">
        <is>
          <t>FRESH JUICE / СВЕЖЕВЫЖАТЫЙ СОК  250 ml</t>
        </is>
      </c>
      <c r="C182" s="112" t="n"/>
      <c r="D182" s="56" t="n"/>
      <c r="E182" s="56" t="n"/>
      <c r="F182" s="56" t="n"/>
      <c r="G182" s="56" t="n"/>
      <c r="H182" s="56" t="n"/>
      <c r="I182" s="39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</row>
    <row r="183">
      <c r="A183" s="524" t="n"/>
      <c r="B183" s="54" t="inlineStr">
        <is>
          <t xml:space="preserve">АПЕЛЬСИН / ORANGE </t>
        </is>
      </c>
      <c r="C183" s="112" t="n">
        <v>2010.5</v>
      </c>
      <c r="D183" s="56" t="n"/>
      <c r="E183" s="56" t="n"/>
      <c r="F183" s="56" t="n"/>
      <c r="G183" s="56" t="n"/>
      <c r="H183" s="56" t="n"/>
      <c r="I183" s="39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</row>
    <row r="184">
      <c r="A184" s="524" t="n"/>
      <c r="B184" s="54" t="inlineStr">
        <is>
          <t xml:space="preserve">ГРЕЙПФРУТ / GRAPEFRUIT </t>
        </is>
      </c>
      <c r="C184" s="112" t="n">
        <v>2047.5</v>
      </c>
      <c r="D184" s="56" t="n"/>
      <c r="E184" s="56" t="n"/>
      <c r="F184" s="56" t="n"/>
      <c r="G184" s="56" t="n"/>
      <c r="H184" s="56" t="n"/>
      <c r="I184" s="39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</row>
    <row r="185">
      <c r="A185" s="524" t="n"/>
      <c r="B185" s="54" t="n"/>
      <c r="C185" s="112" t="n"/>
      <c r="D185" s="56" t="n"/>
      <c r="E185" s="56" t="n"/>
      <c r="F185" s="56" t="n"/>
      <c r="G185" s="56" t="n"/>
      <c r="H185" s="56" t="n"/>
      <c r="I185" s="39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</row>
    <row r="186">
      <c r="A186" s="524" t="n"/>
      <c r="B186" s="266" t="inlineStr">
        <is>
          <t>МИЛКШЕЙКИ</t>
        </is>
      </c>
      <c r="C186" s="112" t="n"/>
      <c r="D186" s="56" t="n"/>
      <c r="E186" s="56" t="n"/>
      <c r="F186" s="56" t="n"/>
      <c r="G186" s="56" t="n"/>
      <c r="H186" s="56" t="n"/>
      <c r="I186" s="39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</row>
    <row r="187">
      <c r="A187" s="524" t="n"/>
      <c r="B187" s="54" t="inlineStr">
        <is>
          <t>ЯГОДНЫЙ</t>
        </is>
      </c>
      <c r="C187" s="112" t="n">
        <v>2158.5</v>
      </c>
      <c r="D187" s="56" t="n">
        <v>2171.5</v>
      </c>
      <c r="E187" s="56" t="n"/>
      <c r="F187" s="56" t="n"/>
      <c r="G187" s="56" t="n"/>
      <c r="H187" s="56" t="n"/>
      <c r="I187" s="39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</row>
    <row r="188">
      <c r="A188" s="524" t="n"/>
      <c r="B188" s="54" t="inlineStr">
        <is>
          <t>БАНАНОВЫЙ</t>
        </is>
      </c>
      <c r="C188" s="112" t="n">
        <v>2195.5</v>
      </c>
      <c r="D188" s="56" t="n">
        <v>2208.5</v>
      </c>
      <c r="E188" s="56" t="n"/>
      <c r="F188" s="56" t="n"/>
      <c r="G188" s="56" t="n"/>
      <c r="H188" s="56" t="n"/>
      <c r="I188" s="39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</row>
    <row r="189">
      <c r="A189" s="524" t="n"/>
      <c r="B189" s="54" t="inlineStr">
        <is>
          <t>ШОКОЛАДНЫЙ</t>
        </is>
      </c>
      <c r="C189" s="112" t="n">
        <v>2232.5</v>
      </c>
      <c r="D189" s="56" t="n">
        <v>2245.5</v>
      </c>
      <c r="E189" s="56" t="n"/>
      <c r="F189" s="56" t="n"/>
      <c r="G189" s="56" t="n"/>
      <c r="H189" s="56" t="n"/>
      <c r="I189" s="39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</row>
    <row r="190">
      <c r="A190" s="524" t="n"/>
      <c r="B190" s="54" t="inlineStr">
        <is>
          <t>ВАНИЛЬНЫЙ</t>
        </is>
      </c>
      <c r="C190" s="112" t="n">
        <v>2269.5</v>
      </c>
      <c r="D190" s="56" t="n">
        <v>2282.5</v>
      </c>
      <c r="E190" s="56" t="n"/>
      <c r="F190" s="56" t="n"/>
      <c r="G190" s="56" t="n"/>
      <c r="H190" s="56" t="n"/>
      <c r="I190" s="39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</row>
    <row r="191">
      <c r="A191" s="524" t="n"/>
      <c r="B191" s="54" t="n"/>
      <c r="C191" s="112" t="n"/>
      <c r="D191" s="56" t="n"/>
      <c r="E191" s="56" t="n"/>
      <c r="F191" s="56" t="n"/>
      <c r="G191" s="56" t="n"/>
      <c r="H191" s="56" t="n"/>
      <c r="I191" s="39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</row>
    <row r="192">
      <c r="A192" s="524" t="n"/>
      <c r="B192" s="266" t="inlineStr">
        <is>
          <t>СМУЗИ</t>
        </is>
      </c>
      <c r="C192" s="112" t="n"/>
      <c r="D192" s="56" t="n"/>
      <c r="E192" s="56" t="n"/>
      <c r="F192" s="56" t="n"/>
      <c r="G192" s="56" t="n"/>
      <c r="H192" s="56" t="n"/>
      <c r="I192" s="39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</row>
    <row r="193">
      <c r="A193" s="524" t="n"/>
      <c r="B193" s="54" t="inlineStr">
        <is>
          <t>ЯГОДНЫЙ</t>
        </is>
      </c>
      <c r="C193" s="112" t="n">
        <v>2380.5</v>
      </c>
      <c r="D193" s="56" t="n">
        <v>2393.5</v>
      </c>
      <c r="E193" s="56" t="n"/>
      <c r="F193" s="56" t="n"/>
      <c r="G193" s="56" t="n"/>
      <c r="H193" s="56" t="n"/>
      <c r="I193" s="39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</row>
    <row r="194">
      <c r="A194" s="524" t="n"/>
      <c r="B194" s="54" t="inlineStr">
        <is>
          <t xml:space="preserve">ТРОПИЧЕСКИЙ </t>
        </is>
      </c>
      <c r="C194" s="112" t="n">
        <v>2417.5</v>
      </c>
      <c r="D194" s="56" t="n">
        <v>2430.5</v>
      </c>
      <c r="E194" s="56" t="n"/>
      <c r="F194" s="56" t="n"/>
      <c r="G194" s="56" t="n"/>
      <c r="H194" s="56" t="n"/>
      <c r="I194" s="39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</row>
    <row r="195">
      <c r="A195" s="524" t="n"/>
      <c r="B195" s="54" t="inlineStr">
        <is>
          <t>ФРУКТОВЫЙ</t>
        </is>
      </c>
      <c r="C195" s="112" t="n">
        <v>2454.5</v>
      </c>
      <c r="D195" s="56" t="n">
        <v>2467.5</v>
      </c>
      <c r="E195" s="56" t="n"/>
      <c r="F195" s="56" t="n"/>
      <c r="G195" s="56" t="n"/>
      <c r="H195" s="56" t="n"/>
      <c r="I195" s="39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</row>
    <row r="196">
      <c r="A196" s="524" t="n"/>
      <c r="B196" s="54" t="n"/>
      <c r="C196" s="112" t="n"/>
      <c r="D196" s="56" t="n"/>
      <c r="E196" s="56" t="n"/>
      <c r="F196" s="56" t="n"/>
      <c r="G196" s="56" t="n"/>
      <c r="H196" s="56" t="n"/>
      <c r="I196" s="39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</row>
    <row r="197">
      <c r="A197" s="524" t="n"/>
      <c r="B197" s="266" t="inlineStr">
        <is>
          <t xml:space="preserve">CHINA TEA / КИТАЙСКИЙ ЧАЙ </t>
        </is>
      </c>
      <c r="C197" s="112" t="n"/>
      <c r="D197" s="56" t="n"/>
      <c r="E197" s="56" t="n"/>
      <c r="F197" s="56" t="n"/>
      <c r="G197" s="56" t="n"/>
      <c r="H197" s="56" t="n"/>
      <c r="I197" s="39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</row>
    <row r="198">
      <c r="A198" s="524" t="n"/>
      <c r="B198" s="54" t="inlineStr">
        <is>
          <t>ВЬЕТНАМСКАЯ ГАБА УЛУН</t>
        </is>
      </c>
      <c r="C198" s="112" t="n">
        <v>2565.5</v>
      </c>
      <c r="D198" s="56" t="n"/>
      <c r="E198" s="56" t="n"/>
      <c r="F198" s="56" t="n"/>
      <c r="G198" s="56" t="n"/>
      <c r="H198" s="56" t="n"/>
      <c r="I198" s="39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</row>
    <row r="199">
      <c r="A199" s="524" t="n"/>
      <c r="B199" s="330" t="n"/>
      <c r="C199" s="112" t="n"/>
      <c r="D199" s="56" t="n"/>
      <c r="E199" s="56" t="n"/>
      <c r="F199" s="56" t="n"/>
      <c r="G199" s="56" t="n"/>
      <c r="H199" s="56" t="n"/>
      <c r="I199" s="39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</row>
    <row r="200">
      <c r="A200" s="524" t="n"/>
      <c r="B200" s="54" t="inlineStr">
        <is>
          <t>ШИФЭН ЛУНЦЗИН С ЛЬВИНОГО ПИКА</t>
        </is>
      </c>
      <c r="C200" s="112" t="n">
        <v>2639.5</v>
      </c>
      <c r="D200" s="56" t="n"/>
      <c r="E200" s="56" t="n"/>
      <c r="F200" s="56" t="n"/>
      <c r="G200" s="56" t="n"/>
      <c r="H200" s="56" t="n"/>
      <c r="I200" s="39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</row>
    <row r="201">
      <c r="A201" s="524" t="n"/>
      <c r="B201" s="330" t="n"/>
      <c r="C201" s="112" t="n"/>
      <c r="D201" s="56" t="n"/>
      <c r="E201" s="56" t="n"/>
      <c r="F201" s="56" t="n"/>
      <c r="G201" s="56" t="n"/>
      <c r="H201" s="56" t="n"/>
      <c r="I201" s="39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</row>
    <row r="202">
      <c r="A202" s="524" t="n"/>
      <c r="B202" s="54" t="inlineStr">
        <is>
          <t>ШУ ПУЭР БАНЬ ЧЖАН ГУ ШУ 2006</t>
        </is>
      </c>
      <c r="C202" s="112" t="n">
        <v>2713.5</v>
      </c>
      <c r="D202" s="56" t="n"/>
      <c r="E202" s="56" t="n"/>
      <c r="F202" s="56" t="n"/>
      <c r="G202" s="56" t="n"/>
      <c r="H202" s="56" t="n"/>
      <c r="I202" s="39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</row>
    <row r="203">
      <c r="A203" s="524" t="n"/>
      <c r="B203" s="54" t="n"/>
      <c r="C203" s="112" t="n"/>
      <c r="D203" s="56" t="n"/>
      <c r="E203" s="56" t="n"/>
      <c r="F203" s="56" t="n"/>
      <c r="G203" s="56" t="n"/>
      <c r="H203" s="56" t="n"/>
      <c r="I203" s="39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</row>
    <row r="204">
      <c r="A204" s="10" t="n"/>
      <c r="B204" s="177" t="inlineStr">
        <is>
          <t>TEA/ЧАЙ</t>
        </is>
      </c>
      <c r="C204" s="112" t="n"/>
      <c r="D204" s="56" t="n"/>
      <c r="E204" s="56" t="n"/>
      <c r="F204" s="56" t="n"/>
      <c r="G204" s="56" t="n"/>
      <c r="H204" s="56" t="n"/>
      <c r="I204" s="39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</row>
    <row r="205">
      <c r="A205" s="524" t="n"/>
      <c r="B205" s="54" t="inlineStr">
        <is>
          <t>BUCKWHEAT TEA / ГРЕЧИШНЫЙ ЧАЙ</t>
        </is>
      </c>
      <c r="C205" s="112" t="n">
        <v>2824.5</v>
      </c>
      <c r="D205" s="56" t="n"/>
      <c r="E205" s="56" t="n"/>
      <c r="F205" s="56" t="n"/>
      <c r="G205" s="56" t="n"/>
      <c r="H205" s="56" t="n"/>
      <c r="I205" s="39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</row>
    <row r="206">
      <c r="A206" s="524" t="n"/>
      <c r="B206" s="54" t="inlineStr">
        <is>
          <t>HERBAL TEA / ТРАВЯНОЙ ЧАЙ</t>
        </is>
      </c>
      <c r="C206" s="112" t="n">
        <v>2861.5</v>
      </c>
      <c r="D206" s="56" t="n"/>
      <c r="E206" s="56" t="n"/>
      <c r="F206" s="56" t="n"/>
      <c r="G206" s="56" t="n"/>
      <c r="H206" s="56" t="n"/>
      <c r="I206" s="39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</row>
    <row r="207">
      <c r="A207" s="524" t="n"/>
      <c r="B207" s="54" t="inlineStr">
        <is>
          <t>SENCHA / СЕНЧА</t>
        </is>
      </c>
      <c r="C207" s="112" t="n">
        <v>2898.5</v>
      </c>
      <c r="D207" s="56" t="n"/>
      <c r="E207" s="56" t="n"/>
      <c r="F207" s="56" t="n"/>
      <c r="G207" s="56" t="n"/>
      <c r="H207" s="56" t="n"/>
      <c r="I207" s="39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</row>
    <row r="208">
      <c r="A208" s="524" t="n"/>
      <c r="B208" s="54" t="inlineStr">
        <is>
          <t>JASMINE / ЖАСМИН</t>
        </is>
      </c>
      <c r="C208" s="112" t="n">
        <v>2935.5</v>
      </c>
      <c r="D208" s="56" t="n"/>
      <c r="E208" s="56" t="n"/>
      <c r="F208" s="56" t="n"/>
      <c r="G208" s="56" t="n"/>
      <c r="H208" s="56" t="n"/>
      <c r="I208" s="39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</row>
    <row r="209">
      <c r="A209" s="524" t="n"/>
      <c r="B209" s="54" t="inlineStr">
        <is>
          <t>MILK OOLONG / МОЛОЧНЫЙ УЛУН</t>
        </is>
      </c>
      <c r="C209" s="112" t="n">
        <v>2972.5</v>
      </c>
      <c r="D209" s="56" t="n"/>
      <c r="E209" s="56" t="n"/>
      <c r="F209" s="56" t="n"/>
      <c r="G209" s="56" t="n"/>
      <c r="H209" s="56" t="n"/>
      <c r="I209" s="39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</row>
    <row r="210">
      <c r="A210" s="524" t="n"/>
      <c r="B210" s="54" t="inlineStr">
        <is>
          <t>ASSAM / АССАМ</t>
        </is>
      </c>
      <c r="C210" s="112" t="n">
        <v>3009.5</v>
      </c>
      <c r="D210" s="56" t="n"/>
      <c r="E210" s="56" t="n"/>
      <c r="F210" s="56" t="n"/>
      <c r="G210" s="56" t="n"/>
      <c r="H210" s="56" t="n"/>
      <c r="I210" s="39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</row>
    <row r="211">
      <c r="A211" s="524" t="n"/>
      <c r="B211" s="54" t="inlineStr">
        <is>
          <t>EARL GREY / ЭРЛ ГРЕЙ</t>
        </is>
      </c>
      <c r="C211" s="112" t="n">
        <v>3046.5</v>
      </c>
      <c r="D211" s="56" t="n"/>
      <c r="E211" s="56" t="n"/>
      <c r="F211" s="56" t="n"/>
      <c r="G211" s="56" t="n"/>
      <c r="H211" s="56" t="n"/>
      <c r="I211" s="39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</row>
    <row r="212">
      <c r="A212" s="524" t="n"/>
      <c r="B212" s="54" t="n"/>
      <c r="C212" s="112" t="n"/>
      <c r="D212" s="56" t="n"/>
      <c r="E212" s="56" t="n"/>
      <c r="F212" s="56" t="n"/>
      <c r="G212" s="56" t="n"/>
      <c r="H212" s="56" t="n"/>
      <c r="I212" s="39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</row>
    <row r="213">
      <c r="A213" s="524" t="n"/>
      <c r="B213" s="266" t="inlineStr">
        <is>
          <t>FRUIT/ГОРЯЧИИ НАПИТКИ</t>
        </is>
      </c>
      <c r="C213" s="112" t="n"/>
      <c r="D213" s="56" t="n"/>
      <c r="E213" s="56" t="n"/>
      <c r="F213" s="56" t="n"/>
      <c r="G213" s="56" t="n"/>
      <c r="H213" s="56" t="n"/>
      <c r="I213" s="39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</row>
    <row r="214">
      <c r="A214" s="524" t="n"/>
      <c r="B214" s="54" t="inlineStr">
        <is>
          <t>SHIELD RUNE</t>
        </is>
      </c>
      <c r="C214" s="112" t="n">
        <v>3157.5</v>
      </c>
      <c r="D214" s="56" t="n"/>
      <c r="E214" s="56" t="n"/>
      <c r="F214" s="56" t="n"/>
      <c r="G214" s="56" t="n"/>
      <c r="H214" s="56" t="n"/>
      <c r="I214" s="39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</row>
    <row r="215">
      <c r="A215" s="524" t="n"/>
      <c r="B215" s="349" t="inlineStr">
        <is>
          <t>Жасминовый чай, личи, апельсин, лайм, сок юдзу</t>
        </is>
      </c>
      <c r="C215" s="112" t="n"/>
      <c r="D215" s="56" t="n"/>
      <c r="E215" s="56" t="n"/>
      <c r="F215" s="56" t="n"/>
      <c r="G215" s="56" t="n"/>
      <c r="H215" s="56" t="n"/>
      <c r="I215" s="39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</row>
    <row r="216">
      <c r="A216" s="524" t="n"/>
      <c r="B216" s="54" t="inlineStr">
        <is>
          <t>HASTE RUNE</t>
        </is>
      </c>
      <c r="C216" s="112" t="n">
        <v>3231.5</v>
      </c>
      <c r="D216" s="56" t="n"/>
      <c r="E216" s="56" t="n"/>
      <c r="F216" s="56" t="n"/>
      <c r="G216" s="56" t="n"/>
      <c r="H216" s="56" t="n"/>
      <c r="I216" s="39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</row>
    <row r="217">
      <c r="A217" s="524" t="n"/>
      <c r="B217" s="349" t="inlineStr">
        <is>
          <t>Чай каркаде, клубника, розовый перец, бальзамический крем</t>
        </is>
      </c>
      <c r="C217" s="112" t="n"/>
      <c r="D217" s="56" t="n"/>
      <c r="E217" s="56" t="n"/>
      <c r="F217" s="56" t="n"/>
      <c r="G217" s="56" t="n"/>
      <c r="H217" s="56" t="n"/>
      <c r="I217" s="39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</row>
    <row r="218">
      <c r="A218" s="524" t="n"/>
      <c r="B218" s="54" t="inlineStr">
        <is>
          <t>ILLUSION RUNE</t>
        </is>
      </c>
      <c r="C218" s="112" t="n">
        <v>3305.5</v>
      </c>
      <c r="D218" s="56" t="n"/>
      <c r="E218" s="56" t="n"/>
      <c r="F218" s="56" t="n"/>
      <c r="G218" s="56" t="n"/>
      <c r="H218" s="56" t="n"/>
      <c r="I218" s="39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</row>
    <row r="219">
      <c r="A219" s="524" t="n"/>
      <c r="B219" s="349" t="inlineStr">
        <is>
          <t xml:space="preserve">Гречишный чай, имбирь, арахис, лаванда, анис. </t>
        </is>
      </c>
      <c r="C219" s="112" t="n"/>
      <c r="D219" s="56" t="n"/>
      <c r="E219" s="56" t="n"/>
      <c r="F219" s="56" t="n"/>
      <c r="G219" s="56" t="n"/>
      <c r="H219" s="56" t="n"/>
      <c r="I219" s="39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</row>
    <row r="220">
      <c r="A220" s="524" t="n"/>
      <c r="B220" s="54" t="inlineStr">
        <is>
          <t>WISDOM RUNE</t>
        </is>
      </c>
      <c r="C220" s="112" t="n">
        <v>3379.5</v>
      </c>
      <c r="D220" s="56" t="n"/>
      <c r="E220" s="56" t="n"/>
      <c r="F220" s="56" t="n"/>
      <c r="G220" s="56" t="n"/>
      <c r="H220" s="56" t="n"/>
      <c r="I220" s="39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</row>
    <row r="221">
      <c r="A221" s="524" t="n"/>
      <c r="B221" s="349" t="inlineStr">
        <is>
          <t>Чай анчан, личи, кокос, лимон, роза</t>
        </is>
      </c>
      <c r="C221" s="112" t="n"/>
      <c r="D221" s="56" t="n"/>
      <c r="E221" s="56" t="n"/>
      <c r="F221" s="56" t="n"/>
      <c r="G221" s="56" t="n"/>
      <c r="H221" s="56" t="n"/>
      <c r="I221" s="39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</row>
    <row r="222">
      <c r="A222" s="524" t="n"/>
      <c r="B222" s="54" t="inlineStr">
        <is>
          <t>REGENERATION RUNE</t>
        </is>
      </c>
      <c r="C222" s="112" t="n">
        <v>3453.5</v>
      </c>
      <c r="D222" s="56" t="n"/>
      <c r="E222" s="56" t="n"/>
      <c r="F222" s="56" t="n"/>
      <c r="G222" s="56" t="n"/>
      <c r="H222" s="56" t="n"/>
      <c r="I222" s="39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</row>
    <row r="223">
      <c r="A223" s="524" t="n"/>
      <c r="B223" s="354" t="inlineStr">
        <is>
          <t xml:space="preserve">Чай лунцзин, грушевый изотоник, розмарин, зеленое яблоко </t>
        </is>
      </c>
      <c r="C223" s="112" t="n"/>
      <c r="D223" s="56" t="n"/>
      <c r="E223" s="56" t="n"/>
      <c r="F223" s="56" t="n"/>
      <c r="G223" s="56" t="n"/>
      <c r="H223" s="56" t="n"/>
      <c r="I223" s="39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</row>
    <row r="224">
      <c r="A224" s="524" t="n"/>
      <c r="B224" s="54" t="n"/>
      <c r="C224" s="112" t="n"/>
      <c r="D224" s="56" t="n"/>
      <c r="E224" s="56" t="n"/>
      <c r="F224" s="56" t="n"/>
      <c r="G224" s="56" t="n"/>
      <c r="H224" s="56" t="n"/>
      <c r="I224" s="39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</row>
    <row r="225">
      <c r="A225" s="524" t="n"/>
      <c r="B225" s="266" t="inlineStr">
        <is>
          <t>COFFEE/КОФЕ</t>
        </is>
      </c>
      <c r="C225" s="112" t="n"/>
      <c r="D225" s="56" t="n"/>
      <c r="E225" s="56" t="n"/>
      <c r="F225" s="56" t="n"/>
      <c r="G225" s="56" t="n"/>
      <c r="H225" s="56" t="n"/>
      <c r="I225" s="39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</row>
    <row r="226">
      <c r="A226" s="524" t="n"/>
      <c r="B226" s="54" t="inlineStr">
        <is>
          <t>ESPRESSO</t>
        </is>
      </c>
      <c r="C226" s="112" t="n">
        <v>3601.5</v>
      </c>
      <c r="D226" s="56" t="n"/>
      <c r="E226" s="56" t="n"/>
      <c r="F226" s="56" t="n"/>
      <c r="G226" s="56" t="n"/>
      <c r="H226" s="56" t="n"/>
      <c r="I226" s="39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</row>
    <row r="227">
      <c r="A227" s="524" t="n"/>
      <c r="B227" s="54" t="inlineStr">
        <is>
          <t>DOPPIO ESPRESSO</t>
        </is>
      </c>
      <c r="C227" s="112" t="n">
        <v>3638.5</v>
      </c>
      <c r="D227" s="56" t="n"/>
      <c r="E227" s="56" t="n"/>
      <c r="F227" s="56" t="n"/>
      <c r="G227" s="56" t="n"/>
      <c r="H227" s="56" t="n"/>
      <c r="I227" s="39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</row>
    <row r="228">
      <c r="A228" s="524" t="n"/>
      <c r="B228" s="54" t="inlineStr">
        <is>
          <t>ESPRESSO MACCHIATO</t>
        </is>
      </c>
      <c r="C228" s="112" t="n">
        <v>3675.5</v>
      </c>
      <c r="D228" s="56" t="n"/>
      <c r="E228" s="56" t="n"/>
      <c r="F228" s="56" t="n"/>
      <c r="G228" s="56" t="n"/>
      <c r="H228" s="56" t="n"/>
      <c r="I228" s="39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</row>
    <row r="229">
      <c r="A229" s="524" t="n"/>
      <c r="B229" s="54" t="inlineStr">
        <is>
          <t>AMERICANO</t>
        </is>
      </c>
      <c r="C229" s="112" t="n">
        <v>3712.5</v>
      </c>
      <c r="D229" s="56" t="n"/>
      <c r="E229" s="56" t="n"/>
      <c r="F229" s="56" t="n"/>
      <c r="G229" s="56" t="n"/>
      <c r="H229" s="56" t="n"/>
      <c r="I229" s="39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</row>
    <row r="230">
      <c r="A230" s="524" t="n"/>
      <c r="B230" s="54" t="inlineStr">
        <is>
          <t>CAPPUCCINO</t>
        </is>
      </c>
      <c r="C230" s="112" t="n">
        <v>3749.5</v>
      </c>
      <c r="D230" s="56" t="n"/>
      <c r="E230" s="56" t="n"/>
      <c r="F230" s="56" t="n"/>
      <c r="G230" s="56" t="n"/>
      <c r="H230" s="56" t="n"/>
      <c r="I230" s="39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</row>
    <row r="231">
      <c r="A231" s="524" t="n"/>
      <c r="B231" s="54" t="inlineStr">
        <is>
          <t>FLAT WHITE</t>
        </is>
      </c>
      <c r="C231" s="112" t="n">
        <v>3786.5</v>
      </c>
      <c r="D231" s="56" t="n"/>
      <c r="E231" s="56" t="n"/>
      <c r="F231" s="56" t="n"/>
      <c r="G231" s="56" t="n"/>
      <c r="H231" s="56" t="n"/>
      <c r="I231" s="39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</row>
    <row r="232">
      <c r="A232" s="524" t="n"/>
      <c r="B232" s="54" t="inlineStr">
        <is>
          <t>DOUBLE CAPPUCCINO</t>
        </is>
      </c>
      <c r="C232" s="112" t="n">
        <v>3823.5</v>
      </c>
      <c r="D232" s="56" t="n"/>
      <c r="E232" s="56" t="n"/>
      <c r="F232" s="56" t="n"/>
      <c r="G232" s="56" t="n"/>
      <c r="H232" s="56" t="n"/>
      <c r="I232" s="39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</row>
    <row r="233">
      <c r="A233" s="524" t="n"/>
      <c r="B233" s="54" t="inlineStr">
        <is>
          <t>LATTE</t>
        </is>
      </c>
      <c r="C233" s="112" t="n">
        <v>3860.5</v>
      </c>
      <c r="D233" s="56" t="n"/>
      <c r="E233" s="56" t="n"/>
      <c r="F233" s="56" t="n"/>
      <c r="G233" s="56" t="n"/>
      <c r="H233" s="56" t="n"/>
      <c r="I233" s="39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</row>
    <row r="234">
      <c r="A234" s="524" t="n"/>
      <c r="B234" s="54" t="inlineStr">
        <is>
          <t>ICE LATTE</t>
        </is>
      </c>
      <c r="C234" s="112" t="n">
        <v>3897.5</v>
      </c>
      <c r="D234" s="56" t="n"/>
      <c r="E234" s="56" t="n"/>
      <c r="F234" s="56" t="n"/>
      <c r="G234" s="56" t="n"/>
      <c r="H234" s="56" t="n"/>
      <c r="I234" s="39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</row>
    <row r="235">
      <c r="A235" s="524" t="n"/>
      <c r="B235" s="54" t="inlineStr">
        <is>
          <t>MATCHA LATTE</t>
        </is>
      </c>
      <c r="C235" s="112" t="n">
        <v>3934.5</v>
      </c>
      <c r="D235" s="56" t="n"/>
      <c r="E235" s="56" t="n"/>
      <c r="F235" s="56" t="n"/>
      <c r="G235" s="56" t="n"/>
      <c r="H235" s="56" t="n"/>
      <c r="I235" s="39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</row>
    <row r="236">
      <c r="A236" s="524" t="n"/>
      <c r="B236" s="54" t="inlineStr">
        <is>
          <t xml:space="preserve">RAFF VANILA </t>
        </is>
      </c>
      <c r="C236" s="112" t="n">
        <v>3971.5</v>
      </c>
      <c r="D236" s="56" t="n"/>
      <c r="E236" s="56" t="n"/>
      <c r="F236" s="56" t="n"/>
      <c r="G236" s="56" t="n"/>
      <c r="H236" s="56" t="n"/>
      <c r="I236" s="39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</row>
    <row r="237">
      <c r="A237" s="524" t="n"/>
      <c r="B237" s="54" t="inlineStr">
        <is>
          <t>ESPRESSO TONIC</t>
        </is>
      </c>
      <c r="C237" s="112" t="n">
        <v>4008.5</v>
      </c>
      <c r="D237" s="56" t="n"/>
      <c r="E237" s="56" t="n"/>
      <c r="F237" s="56" t="n"/>
      <c r="G237" s="56" t="n"/>
      <c r="H237" s="56" t="n"/>
      <c r="I237" s="39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</row>
    <row r="238">
      <c r="A238" s="524" t="n"/>
      <c r="B238" s="54" t="inlineStr">
        <is>
          <t>BUMBLE</t>
        </is>
      </c>
      <c r="C238" s="112" t="n">
        <v>4045.5</v>
      </c>
      <c r="D238" s="56" t="n"/>
      <c r="E238" s="56" t="n"/>
      <c r="F238" s="56" t="n"/>
      <c r="G238" s="56" t="n"/>
      <c r="H238" s="56" t="n"/>
      <c r="I238" s="39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</row>
    <row r="239">
      <c r="A239" s="524" t="n"/>
      <c r="B239" s="54" t="inlineStr">
        <is>
          <t>MOCACHINO</t>
        </is>
      </c>
      <c r="C239" s="112" t="n">
        <v>4082.5</v>
      </c>
      <c r="D239" s="56" t="n"/>
      <c r="E239" s="56" t="n"/>
      <c r="F239" s="56" t="n"/>
      <c r="G239" s="56" t="n"/>
      <c r="H239" s="56" t="n"/>
      <c r="I239" s="39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</row>
    <row r="240">
      <c r="A240" s="524" t="n"/>
      <c r="B240" s="54" t="inlineStr">
        <is>
          <t>CACAO</t>
        </is>
      </c>
      <c r="C240" s="112" t="n">
        <v>4119.5</v>
      </c>
      <c r="D240" s="56" t="n"/>
      <c r="E240" s="56" t="n"/>
      <c r="F240" s="56" t="n"/>
      <c r="G240" s="56" t="n"/>
      <c r="H240" s="56" t="n"/>
      <c r="I240" s="39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</row>
    <row r="241">
      <c r="A241" s="524" t="n"/>
      <c r="B241" s="54" t="inlineStr">
        <is>
          <t>IRISH COFFEE</t>
        </is>
      </c>
      <c r="C241" s="112" t="n">
        <v>4156.5</v>
      </c>
      <c r="D241" s="56" t="n"/>
      <c r="E241" s="56" t="n"/>
      <c r="F241" s="56" t="n"/>
      <c r="G241" s="56" t="n"/>
      <c r="H241" s="56" t="n"/>
      <c r="I241" s="39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</row>
    <row r="242">
      <c r="A242" s="524" t="n"/>
      <c r="B242" s="360" t="inlineStr">
        <is>
          <t xml:space="preserve">Какао Джедая </t>
        </is>
      </c>
      <c r="C242" s="112" t="n">
        <v>4193.5</v>
      </c>
      <c r="D242" s="56" t="n"/>
      <c r="E242" s="56" t="n"/>
      <c r="F242" s="56" t="n"/>
      <c r="G242" s="56" t="n"/>
      <c r="H242" s="56" t="n"/>
      <c r="I242" s="39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</row>
    <row r="243">
      <c r="A243" s="524" t="n"/>
      <c r="B243" s="361" t="inlineStr">
        <is>
          <t>При заказе кофе на растительном молоке +100 рублей</t>
        </is>
      </c>
      <c r="C243" s="112" t="n"/>
      <c r="D243" s="56" t="n"/>
      <c r="E243" s="56" t="n"/>
      <c r="F243" s="56" t="n"/>
      <c r="G243" s="56" t="n"/>
      <c r="H243" s="56" t="n"/>
      <c r="I243" s="39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</row>
    <row r="244">
      <c r="A244" s="10" t="n"/>
      <c r="B244" s="10" t="n"/>
      <c r="C244" s="6" t="n"/>
      <c r="D244" s="10" t="n"/>
      <c r="E244" s="10" t="n"/>
      <c r="F244" s="10" t="n"/>
      <c r="G244" s="10" t="n"/>
      <c r="H244" s="10" t="n"/>
      <c r="I244" s="362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362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362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362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362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362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362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362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362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362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362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362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362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362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362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362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362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362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362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362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362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362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362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362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362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362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362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362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362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362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362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362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362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362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362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362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362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362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362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362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362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362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362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362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362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362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362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362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362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362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362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362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362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362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362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362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362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362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362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362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362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362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362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362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362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362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362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362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362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362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362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362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362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362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362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362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362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362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362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362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362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362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362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362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362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362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362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362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362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362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362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362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362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362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362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362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362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362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362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362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362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362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362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362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362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362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362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362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362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362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362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362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362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362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362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362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362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362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362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362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362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362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362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362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362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362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362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362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362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362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362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362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362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362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362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362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362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362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362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362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362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362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362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362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362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362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362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362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362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362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362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362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362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362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362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362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362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362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362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362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362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362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362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362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362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362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362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362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362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362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362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362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362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362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362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362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362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362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362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362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362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362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362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362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362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362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362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362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362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362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362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362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362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362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362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362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362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362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362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362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362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362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362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362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362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362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362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362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362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362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362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362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362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362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362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362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362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362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362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362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362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362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362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362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362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362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362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362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362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362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362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362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362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362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362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362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362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362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362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362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362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362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362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362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362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362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362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362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362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362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362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362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362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362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362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362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362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362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362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362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362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362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362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362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362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362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362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362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362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362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362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362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362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362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362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362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362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362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362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362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362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362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362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362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362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362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362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362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362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362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362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362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362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362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362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362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362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362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362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362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362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362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362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362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362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362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362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362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362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362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362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362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362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362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362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362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362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362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362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362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362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362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362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362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362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362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362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362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362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362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362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362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362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362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362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362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362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362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362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362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362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362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362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362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362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362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362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362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362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362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362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362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362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362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362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362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362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362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362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362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362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362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362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362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362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362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362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362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362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362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362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362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362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362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362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362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362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362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362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362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362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362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362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362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362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362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362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362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362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362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362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362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362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362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362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362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362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362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362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362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362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362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362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362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362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362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362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362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362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362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362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362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362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362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362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362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362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362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362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362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362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362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362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362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362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362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362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362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362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362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362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362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362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362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362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362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362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362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362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362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362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362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362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362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362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362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362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362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362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362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362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362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362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362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362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362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362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362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362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362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362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362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362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362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362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362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362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362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362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362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362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362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362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362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362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362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362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362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362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362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362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362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362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362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362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362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362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362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362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362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362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362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362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362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362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362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362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362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362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362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362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362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362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362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362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362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362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362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362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362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362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362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362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362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362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362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362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362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362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362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362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362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362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362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362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362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362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362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362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362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362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362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362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362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362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362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362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362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362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362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362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362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362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362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362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362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362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362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362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362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362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362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362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362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362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362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362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362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362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362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362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362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362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362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362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362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362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362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362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362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362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362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362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362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362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362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362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362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362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362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362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362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362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362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362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362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362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362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362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362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362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362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362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362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362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362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362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362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362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362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362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362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362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362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362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362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362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362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362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362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362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362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362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362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362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362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362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362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362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362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362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362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362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362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362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362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362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362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362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362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362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362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362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362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362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362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362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362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362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362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362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362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362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362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362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362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362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362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362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362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362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362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362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362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362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362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362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362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362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362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362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362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362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362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362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362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362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362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362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362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362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362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362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362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362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362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362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362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362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362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362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362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362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362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362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362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362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362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362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362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362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362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362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362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362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362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362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362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362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362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362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362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362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362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362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362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362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362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362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362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362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362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362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362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362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362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362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362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362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362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362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362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362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362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362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362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362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362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362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362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362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362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362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362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362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362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362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362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362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362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362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362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362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362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362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362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362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362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362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362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362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362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362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362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362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362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362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0" t="n"/>
      <c r="I1001" s="362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0" t="n"/>
      <c r="I1002" s="362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0" t="n"/>
      <c r="I1003" s="362" t="n"/>
      <c r="J1003" s="10" t="n"/>
      <c r="K1003" s="10" t="n"/>
      <c r="L1003" s="10" t="n"/>
      <c r="M1003" s="10" t="n"/>
      <c r="N1003" s="10" t="n"/>
      <c r="O1003" s="10" t="n"/>
      <c r="P1003" s="10" t="n"/>
      <c r="Q1003" s="10" t="n"/>
      <c r="R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0" t="n"/>
      <c r="I1004" s="362" t="n"/>
      <c r="J1004" s="10" t="n"/>
      <c r="K1004" s="10" t="n"/>
      <c r="L1004" s="10" t="n"/>
      <c r="M1004" s="10" t="n"/>
      <c r="N1004" s="10" t="n"/>
      <c r="O1004" s="10" t="n"/>
      <c r="P1004" s="10" t="n"/>
      <c r="Q1004" s="10" t="n"/>
      <c r="R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0" t="n"/>
      <c r="I1005" s="362" t="n"/>
      <c r="J1005" s="10" t="n"/>
      <c r="K1005" s="10" t="n"/>
      <c r="L1005" s="10" t="n"/>
      <c r="M1005" s="10" t="n"/>
      <c r="N1005" s="10" t="n"/>
      <c r="O1005" s="10" t="n"/>
      <c r="P1005" s="10" t="n"/>
      <c r="Q1005" s="10" t="n"/>
      <c r="R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0" t="n"/>
      <c r="I1006" s="362" t="n"/>
      <c r="J1006" s="10" t="n"/>
      <c r="K1006" s="10" t="n"/>
      <c r="L1006" s="10" t="n"/>
      <c r="M1006" s="10" t="n"/>
      <c r="N1006" s="10" t="n"/>
      <c r="O1006" s="10" t="n"/>
      <c r="P1006" s="10" t="n"/>
      <c r="Q1006" s="10" t="n"/>
      <c r="R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  <c r="H1007" s="10" t="n"/>
      <c r="I1007" s="362" t="n"/>
      <c r="J1007" s="10" t="n"/>
      <c r="K1007" s="10" t="n"/>
      <c r="L1007" s="10" t="n"/>
      <c r="M1007" s="10" t="n"/>
      <c r="N1007" s="10" t="n"/>
      <c r="O1007" s="10" t="n"/>
      <c r="P1007" s="10" t="n"/>
      <c r="Q1007" s="10" t="n"/>
      <c r="R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  <c r="H1008" s="10" t="n"/>
      <c r="I1008" s="362" t="n"/>
      <c r="J1008" s="10" t="n"/>
      <c r="K1008" s="10" t="n"/>
      <c r="L1008" s="10" t="n"/>
      <c r="M1008" s="10" t="n"/>
      <c r="N1008" s="10" t="n"/>
      <c r="O1008" s="10" t="n"/>
      <c r="P1008" s="10" t="n"/>
      <c r="Q1008" s="10" t="n"/>
      <c r="R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  <c r="H1009" s="10" t="n"/>
      <c r="I1009" s="362" t="n"/>
      <c r="J1009" s="10" t="n"/>
      <c r="K1009" s="10" t="n"/>
      <c r="L1009" s="10" t="n"/>
      <c r="M1009" s="10" t="n"/>
      <c r="N1009" s="10" t="n"/>
      <c r="O1009" s="10" t="n"/>
      <c r="P1009" s="10" t="n"/>
      <c r="Q1009" s="10" t="n"/>
      <c r="R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  <c r="H1010" s="10" t="n"/>
      <c r="I1010" s="362" t="n"/>
      <c r="J1010" s="10" t="n"/>
      <c r="K1010" s="10" t="n"/>
      <c r="L1010" s="10" t="n"/>
      <c r="M1010" s="10" t="n"/>
      <c r="N1010" s="10" t="n"/>
      <c r="O1010" s="10" t="n"/>
      <c r="P1010" s="10" t="n"/>
      <c r="Q1010" s="10" t="n"/>
      <c r="R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  <c r="H1011" s="10" t="n"/>
      <c r="I1011" s="362" t="n"/>
      <c r="J1011" s="10" t="n"/>
      <c r="K1011" s="10" t="n"/>
      <c r="L1011" s="10" t="n"/>
      <c r="M1011" s="10" t="n"/>
      <c r="N1011" s="10" t="n"/>
      <c r="O1011" s="10" t="n"/>
      <c r="P1011" s="10" t="n"/>
      <c r="Q1011" s="10" t="n"/>
      <c r="R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  <c r="H1012" s="10" t="n"/>
      <c r="I1012" s="362" t="n"/>
      <c r="J1012" s="10" t="n"/>
      <c r="K1012" s="10" t="n"/>
      <c r="L1012" s="10" t="n"/>
      <c r="M1012" s="10" t="n"/>
      <c r="N1012" s="10" t="n"/>
      <c r="O1012" s="10" t="n"/>
      <c r="P1012" s="10" t="n"/>
      <c r="Q1012" s="10" t="n"/>
      <c r="R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  <c r="H1013" s="10" t="n"/>
      <c r="I1013" s="362" t="n"/>
      <c r="J1013" s="10" t="n"/>
      <c r="K1013" s="10" t="n"/>
      <c r="L1013" s="10" t="n"/>
      <c r="M1013" s="10" t="n"/>
      <c r="N1013" s="10" t="n"/>
      <c r="O1013" s="10" t="n"/>
      <c r="P1013" s="10" t="n"/>
      <c r="Q1013" s="10" t="n"/>
      <c r="R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  <c r="H1014" s="10" t="n"/>
      <c r="I1014" s="362" t="n"/>
      <c r="J1014" s="10" t="n"/>
      <c r="K1014" s="10" t="n"/>
      <c r="L1014" s="10" t="n"/>
      <c r="M1014" s="10" t="n"/>
      <c r="N1014" s="10" t="n"/>
      <c r="O1014" s="10" t="n"/>
      <c r="P1014" s="10" t="n"/>
      <c r="Q1014" s="10" t="n"/>
      <c r="R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  <c r="H1015" s="10" t="n"/>
      <c r="I1015" s="362" t="n"/>
      <c r="J1015" s="10" t="n"/>
      <c r="K1015" s="10" t="n"/>
      <c r="L1015" s="10" t="n"/>
      <c r="M1015" s="10" t="n"/>
      <c r="N1015" s="10" t="n"/>
      <c r="O1015" s="10" t="n"/>
      <c r="P1015" s="10" t="n"/>
      <c r="Q1015" s="10" t="n"/>
      <c r="R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  <c r="H1016" s="10" t="n"/>
      <c r="I1016" s="362" t="n"/>
      <c r="J1016" s="10" t="n"/>
      <c r="K1016" s="10" t="n"/>
      <c r="L1016" s="10" t="n"/>
      <c r="M1016" s="10" t="n"/>
      <c r="N1016" s="10" t="n"/>
      <c r="O1016" s="10" t="n"/>
      <c r="P1016" s="10" t="n"/>
      <c r="Q1016" s="10" t="n"/>
      <c r="R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  <c r="H1017" s="10" t="n"/>
      <c r="I1017" s="362" t="n"/>
      <c r="J1017" s="10" t="n"/>
      <c r="K1017" s="10" t="n"/>
      <c r="L1017" s="10" t="n"/>
      <c r="M1017" s="10" t="n"/>
      <c r="N1017" s="10" t="n"/>
      <c r="O1017" s="10" t="n"/>
      <c r="P1017" s="10" t="n"/>
      <c r="Q1017" s="10" t="n"/>
      <c r="R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  <c r="H1018" s="10" t="n"/>
      <c r="I1018" s="362" t="n"/>
      <c r="J1018" s="10" t="n"/>
      <c r="K1018" s="10" t="n"/>
      <c r="L1018" s="10" t="n"/>
      <c r="M1018" s="10" t="n"/>
      <c r="N1018" s="10" t="n"/>
      <c r="O1018" s="10" t="n"/>
      <c r="P1018" s="10" t="n"/>
      <c r="Q1018" s="10" t="n"/>
      <c r="R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  <c r="H1019" s="10" t="n"/>
      <c r="I1019" s="362" t="n"/>
      <c r="J1019" s="10" t="n"/>
      <c r="K1019" s="10" t="n"/>
      <c r="L1019" s="10" t="n"/>
      <c r="M1019" s="10" t="n"/>
      <c r="N1019" s="10" t="n"/>
      <c r="O1019" s="10" t="n"/>
      <c r="P1019" s="10" t="n"/>
      <c r="Q1019" s="10" t="n"/>
      <c r="R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  <c r="H1020" s="10" t="n"/>
      <c r="I1020" s="362" t="n"/>
      <c r="J1020" s="10" t="n"/>
      <c r="K1020" s="10" t="n"/>
      <c r="L1020" s="10" t="n"/>
      <c r="M1020" s="10" t="n"/>
      <c r="N1020" s="10" t="n"/>
      <c r="O1020" s="10" t="n"/>
      <c r="P1020" s="10" t="n"/>
      <c r="Q1020" s="10" t="n"/>
      <c r="R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  <c r="H1021" s="10" t="n"/>
      <c r="I1021" s="362" t="n"/>
      <c r="J1021" s="10" t="n"/>
      <c r="K1021" s="10" t="n"/>
      <c r="L1021" s="10" t="n"/>
      <c r="M1021" s="10" t="n"/>
      <c r="N1021" s="10" t="n"/>
      <c r="O1021" s="10" t="n"/>
      <c r="P1021" s="10" t="n"/>
      <c r="Q1021" s="10" t="n"/>
      <c r="R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  <c r="H1022" s="10" t="n"/>
      <c r="I1022" s="362" t="n"/>
      <c r="J1022" s="10" t="n"/>
      <c r="K1022" s="10" t="n"/>
      <c r="L1022" s="10" t="n"/>
      <c r="M1022" s="10" t="n"/>
      <c r="N1022" s="10" t="n"/>
      <c r="O1022" s="10" t="n"/>
      <c r="P1022" s="10" t="n"/>
      <c r="Q1022" s="10" t="n"/>
      <c r="R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  <c r="H1023" s="10" t="n"/>
      <c r="I1023" s="362" t="n"/>
      <c r="J1023" s="10" t="n"/>
      <c r="K1023" s="10" t="n"/>
      <c r="L1023" s="10" t="n"/>
      <c r="M1023" s="10" t="n"/>
      <c r="N1023" s="10" t="n"/>
      <c r="O1023" s="10" t="n"/>
      <c r="P1023" s="10" t="n"/>
      <c r="Q1023" s="10" t="n"/>
      <c r="R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  <c r="H1024" s="10" t="n"/>
      <c r="I1024" s="362" t="n"/>
      <c r="J1024" s="10" t="n"/>
      <c r="K1024" s="10" t="n"/>
      <c r="L1024" s="10" t="n"/>
      <c r="M1024" s="10" t="n"/>
      <c r="N1024" s="10" t="n"/>
      <c r="O1024" s="10" t="n"/>
      <c r="P1024" s="10" t="n"/>
      <c r="Q1024" s="10" t="n"/>
      <c r="R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  <c r="H1025" s="10" t="n"/>
      <c r="I1025" s="362" t="n"/>
      <c r="J1025" s="10" t="n"/>
      <c r="K1025" s="10" t="n"/>
      <c r="L1025" s="10" t="n"/>
      <c r="M1025" s="10" t="n"/>
      <c r="N1025" s="10" t="n"/>
      <c r="O1025" s="10" t="n"/>
      <c r="P1025" s="10" t="n"/>
      <c r="Q1025" s="10" t="n"/>
      <c r="R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  <c r="H1026" s="10" t="n"/>
      <c r="I1026" s="362" t="n"/>
      <c r="J1026" s="10" t="n"/>
      <c r="K1026" s="10" t="n"/>
      <c r="L1026" s="10" t="n"/>
      <c r="M1026" s="10" t="n"/>
      <c r="N1026" s="10" t="n"/>
      <c r="O1026" s="10" t="n"/>
      <c r="P1026" s="10" t="n"/>
      <c r="Q1026" s="10" t="n"/>
      <c r="R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  <c r="H1027" s="10" t="n"/>
      <c r="I1027" s="362" t="n"/>
      <c r="J1027" s="10" t="n"/>
      <c r="K1027" s="10" t="n"/>
      <c r="L1027" s="10" t="n"/>
      <c r="M1027" s="10" t="n"/>
      <c r="N1027" s="10" t="n"/>
      <c r="O1027" s="10" t="n"/>
      <c r="P1027" s="10" t="n"/>
      <c r="Q1027" s="10" t="n"/>
      <c r="R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  <c r="H1028" s="10" t="n"/>
      <c r="I1028" s="362" t="n"/>
      <c r="J1028" s="10" t="n"/>
      <c r="K1028" s="10" t="n"/>
      <c r="L1028" s="10" t="n"/>
      <c r="M1028" s="10" t="n"/>
      <c r="N1028" s="10" t="n"/>
      <c r="O1028" s="10" t="n"/>
      <c r="P1028" s="10" t="n"/>
      <c r="Q1028" s="10" t="n"/>
      <c r="R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  <c r="H1029" s="10" t="n"/>
      <c r="I1029" s="362" t="n"/>
      <c r="J1029" s="10" t="n"/>
      <c r="K1029" s="10" t="n"/>
      <c r="L1029" s="10" t="n"/>
      <c r="M1029" s="10" t="n"/>
      <c r="N1029" s="10" t="n"/>
      <c r="O1029" s="10" t="n"/>
      <c r="P1029" s="10" t="n"/>
      <c r="Q1029" s="10" t="n"/>
      <c r="R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  <c r="H1030" s="10" t="n"/>
      <c r="I1030" s="362" t="n"/>
      <c r="J1030" s="10" t="n"/>
      <c r="K1030" s="10" t="n"/>
      <c r="L1030" s="10" t="n"/>
      <c r="M1030" s="10" t="n"/>
      <c r="N1030" s="10" t="n"/>
      <c r="O1030" s="10" t="n"/>
      <c r="P1030" s="10" t="n"/>
      <c r="Q1030" s="10" t="n"/>
      <c r="R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  <c r="H1031" s="10" t="n"/>
      <c r="I1031" s="362" t="n"/>
      <c r="J1031" s="10" t="n"/>
      <c r="K1031" s="10" t="n"/>
      <c r="L1031" s="10" t="n"/>
      <c r="M1031" s="10" t="n"/>
      <c r="N1031" s="10" t="n"/>
      <c r="O1031" s="10" t="n"/>
      <c r="P1031" s="10" t="n"/>
      <c r="Q1031" s="10" t="n"/>
      <c r="R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  <c r="H1032" s="10" t="n"/>
      <c r="I1032" s="362" t="n"/>
      <c r="J1032" s="10" t="n"/>
      <c r="K1032" s="10" t="n"/>
      <c r="L1032" s="10" t="n"/>
      <c r="M1032" s="10" t="n"/>
      <c r="N1032" s="10" t="n"/>
      <c r="O1032" s="10" t="n"/>
      <c r="P1032" s="10" t="n"/>
      <c r="Q1032" s="10" t="n"/>
      <c r="R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  <c r="H1033" s="10" t="n"/>
      <c r="I1033" s="362" t="n"/>
      <c r="J1033" s="10" t="n"/>
      <c r="K1033" s="10" t="n"/>
      <c r="L1033" s="10" t="n"/>
      <c r="M1033" s="10" t="n"/>
      <c r="N1033" s="10" t="n"/>
      <c r="O1033" s="10" t="n"/>
      <c r="P1033" s="10" t="n"/>
      <c r="Q1033" s="10" t="n"/>
      <c r="R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  <c r="H1034" s="10" t="n"/>
      <c r="I1034" s="362" t="n"/>
      <c r="J1034" s="10" t="n"/>
      <c r="K1034" s="10" t="n"/>
      <c r="L1034" s="10" t="n"/>
      <c r="M1034" s="10" t="n"/>
      <c r="N1034" s="10" t="n"/>
      <c r="O1034" s="10" t="n"/>
      <c r="P1034" s="10" t="n"/>
      <c r="Q1034" s="10" t="n"/>
      <c r="R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  <c r="H1035" s="10" t="n"/>
      <c r="I1035" s="362" t="n"/>
      <c r="J1035" s="10" t="n"/>
      <c r="K1035" s="10" t="n"/>
      <c r="L1035" s="10" t="n"/>
      <c r="M1035" s="10" t="n"/>
      <c r="N1035" s="10" t="n"/>
      <c r="O1035" s="10" t="n"/>
      <c r="P1035" s="10" t="n"/>
      <c r="Q1035" s="10" t="n"/>
      <c r="R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  <c r="H1036" s="10" t="n"/>
      <c r="I1036" s="362" t="n"/>
      <c r="J1036" s="10" t="n"/>
      <c r="K1036" s="10" t="n"/>
      <c r="L1036" s="10" t="n"/>
      <c r="M1036" s="10" t="n"/>
      <c r="N1036" s="10" t="n"/>
      <c r="O1036" s="10" t="n"/>
      <c r="P1036" s="10" t="n"/>
      <c r="Q1036" s="10" t="n"/>
      <c r="R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  <c r="H1037" s="10" t="n"/>
      <c r="I1037" s="362" t="n"/>
      <c r="J1037" s="10" t="n"/>
      <c r="K1037" s="10" t="n"/>
      <c r="L1037" s="10" t="n"/>
      <c r="M1037" s="10" t="n"/>
      <c r="N1037" s="10" t="n"/>
      <c r="O1037" s="10" t="n"/>
      <c r="P1037" s="10" t="n"/>
      <c r="Q1037" s="10" t="n"/>
      <c r="R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  <c r="H1038" s="10" t="n"/>
      <c r="I1038" s="362" t="n"/>
      <c r="J1038" s="10" t="n"/>
      <c r="K1038" s="10" t="n"/>
      <c r="L1038" s="10" t="n"/>
      <c r="M1038" s="10" t="n"/>
      <c r="N1038" s="10" t="n"/>
      <c r="O1038" s="10" t="n"/>
      <c r="P1038" s="10" t="n"/>
      <c r="Q1038" s="10" t="n"/>
      <c r="R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  <c r="H1039" s="10" t="n"/>
      <c r="I1039" s="362" t="n"/>
      <c r="J1039" s="10" t="n"/>
      <c r="K1039" s="10" t="n"/>
      <c r="L1039" s="10" t="n"/>
      <c r="M1039" s="10" t="n"/>
      <c r="N1039" s="10" t="n"/>
      <c r="O1039" s="10" t="n"/>
      <c r="P1039" s="10" t="n"/>
      <c r="Q1039" s="10" t="n"/>
      <c r="R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  <c r="H1040" s="10" t="n"/>
      <c r="I1040" s="362" t="n"/>
      <c r="J1040" s="10" t="n"/>
      <c r="K1040" s="10" t="n"/>
      <c r="L1040" s="10" t="n"/>
      <c r="M1040" s="10" t="n"/>
      <c r="N1040" s="10" t="n"/>
      <c r="O1040" s="10" t="n"/>
      <c r="P1040" s="10" t="n"/>
      <c r="Q1040" s="10" t="n"/>
      <c r="R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  <c r="H1041" s="10" t="n"/>
      <c r="I1041" s="362" t="n"/>
      <c r="J1041" s="10" t="n"/>
      <c r="K1041" s="10" t="n"/>
      <c r="L1041" s="10" t="n"/>
      <c r="M1041" s="10" t="n"/>
      <c r="N1041" s="10" t="n"/>
      <c r="O1041" s="10" t="n"/>
      <c r="P1041" s="10" t="n"/>
      <c r="Q1041" s="10" t="n"/>
      <c r="R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  <c r="H1042" s="10" t="n"/>
      <c r="I1042" s="362" t="n"/>
      <c r="J1042" s="10" t="n"/>
      <c r="K1042" s="10" t="n"/>
      <c r="L1042" s="10" t="n"/>
      <c r="M1042" s="10" t="n"/>
      <c r="N1042" s="10" t="n"/>
      <c r="O1042" s="10" t="n"/>
      <c r="P1042" s="10" t="n"/>
      <c r="Q1042" s="10" t="n"/>
      <c r="R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  <c r="H1043" s="10" t="n"/>
      <c r="I1043" s="362" t="n"/>
      <c r="J1043" s="10" t="n"/>
      <c r="K1043" s="10" t="n"/>
      <c r="L1043" s="10" t="n"/>
      <c r="M1043" s="10" t="n"/>
      <c r="N1043" s="10" t="n"/>
      <c r="O1043" s="10" t="n"/>
      <c r="P1043" s="10" t="n"/>
      <c r="Q1043" s="10" t="n"/>
      <c r="R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  <c r="H1044" s="10" t="n"/>
      <c r="I1044" s="362" t="n"/>
      <c r="J1044" s="10" t="n"/>
      <c r="K1044" s="10" t="n"/>
      <c r="L1044" s="10" t="n"/>
      <c r="M1044" s="10" t="n"/>
      <c r="N1044" s="10" t="n"/>
      <c r="O1044" s="10" t="n"/>
      <c r="P1044" s="10" t="n"/>
      <c r="Q1044" s="10" t="n"/>
      <c r="R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  <c r="H1045" s="10" t="n"/>
      <c r="I1045" s="362" t="n"/>
      <c r="J1045" s="10" t="n"/>
      <c r="K1045" s="10" t="n"/>
      <c r="L1045" s="10" t="n"/>
      <c r="M1045" s="10" t="n"/>
      <c r="N1045" s="10" t="n"/>
      <c r="O1045" s="10" t="n"/>
      <c r="P1045" s="10" t="n"/>
      <c r="Q1045" s="10" t="n"/>
      <c r="R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  <c r="H1046" s="10" t="n"/>
      <c r="I1046" s="362" t="n"/>
      <c r="J1046" s="10" t="n"/>
      <c r="K1046" s="10" t="n"/>
      <c r="L1046" s="10" t="n"/>
      <c r="M1046" s="10" t="n"/>
      <c r="N1046" s="10" t="n"/>
      <c r="O1046" s="10" t="n"/>
      <c r="P1046" s="10" t="n"/>
      <c r="Q1046" s="10" t="n"/>
      <c r="R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  <c r="H1047" s="10" t="n"/>
      <c r="I1047" s="362" t="n"/>
      <c r="J1047" s="10" t="n"/>
      <c r="K1047" s="10" t="n"/>
      <c r="L1047" s="10" t="n"/>
      <c r="M1047" s="10" t="n"/>
      <c r="N1047" s="10" t="n"/>
      <c r="O1047" s="10" t="n"/>
      <c r="P1047" s="10" t="n"/>
      <c r="Q1047" s="10" t="n"/>
      <c r="R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  <c r="H1048" s="10" t="n"/>
      <c r="I1048" s="362" t="n"/>
      <c r="J1048" s="10" t="n"/>
      <c r="K1048" s="10" t="n"/>
      <c r="L1048" s="10" t="n"/>
      <c r="M1048" s="10" t="n"/>
      <c r="N1048" s="10" t="n"/>
      <c r="O1048" s="10" t="n"/>
      <c r="P1048" s="10" t="n"/>
      <c r="Q1048" s="10" t="n"/>
      <c r="R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  <c r="H1049" s="10" t="n"/>
      <c r="I1049" s="362" t="n"/>
      <c r="J1049" s="10" t="n"/>
      <c r="K1049" s="10" t="n"/>
      <c r="L1049" s="10" t="n"/>
      <c r="M1049" s="10" t="n"/>
      <c r="N1049" s="10" t="n"/>
      <c r="O1049" s="10" t="n"/>
      <c r="P1049" s="10" t="n"/>
      <c r="Q1049" s="10" t="n"/>
      <c r="R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  <c r="H1050" s="10" t="n"/>
      <c r="I1050" s="362" t="n"/>
      <c r="J1050" s="10" t="n"/>
      <c r="K1050" s="10" t="n"/>
      <c r="L1050" s="10" t="n"/>
      <c r="M1050" s="10" t="n"/>
      <c r="N1050" s="10" t="n"/>
      <c r="O1050" s="10" t="n"/>
      <c r="P1050" s="10" t="n"/>
      <c r="Q1050" s="10" t="n"/>
      <c r="R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  <c r="H1051" s="10" t="n"/>
      <c r="I1051" s="362" t="n"/>
      <c r="J1051" s="10" t="n"/>
      <c r="K1051" s="10" t="n"/>
      <c r="L1051" s="10" t="n"/>
      <c r="M1051" s="10" t="n"/>
      <c r="N1051" s="10" t="n"/>
      <c r="O1051" s="10" t="n"/>
      <c r="P1051" s="10" t="n"/>
      <c r="Q1051" s="10" t="n"/>
      <c r="R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  <c r="H1052" s="10" t="n"/>
      <c r="I1052" s="362" t="n"/>
      <c r="J1052" s="10" t="n"/>
      <c r="K1052" s="10" t="n"/>
      <c r="L1052" s="10" t="n"/>
      <c r="M1052" s="10" t="n"/>
      <c r="N1052" s="10" t="n"/>
      <c r="O1052" s="10" t="n"/>
      <c r="P1052" s="10" t="n"/>
      <c r="Q1052" s="10" t="n"/>
      <c r="R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  <c r="H1053" s="10" t="n"/>
      <c r="I1053" s="362" t="n"/>
      <c r="J1053" s="10" t="n"/>
      <c r="K1053" s="10" t="n"/>
      <c r="L1053" s="10" t="n"/>
      <c r="M1053" s="10" t="n"/>
      <c r="N1053" s="10" t="n"/>
      <c r="O1053" s="10" t="n"/>
      <c r="P1053" s="10" t="n"/>
      <c r="Q1053" s="10" t="n"/>
      <c r="R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  <c r="H1054" s="10" t="n"/>
      <c r="I1054" s="362" t="n"/>
      <c r="J1054" s="10" t="n"/>
      <c r="K1054" s="10" t="n"/>
      <c r="L1054" s="10" t="n"/>
      <c r="M1054" s="10" t="n"/>
      <c r="N1054" s="10" t="n"/>
      <c r="O1054" s="10" t="n"/>
      <c r="P1054" s="10" t="n"/>
      <c r="Q1054" s="10" t="n"/>
      <c r="R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  <c r="H1055" s="10" t="n"/>
      <c r="I1055" s="362" t="n"/>
      <c r="J1055" s="10" t="n"/>
      <c r="K1055" s="10" t="n"/>
      <c r="L1055" s="10" t="n"/>
      <c r="M1055" s="10" t="n"/>
      <c r="N1055" s="10" t="n"/>
      <c r="O1055" s="10" t="n"/>
      <c r="P1055" s="10" t="n"/>
      <c r="Q1055" s="10" t="n"/>
      <c r="R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  <c r="H1056" s="10" t="n"/>
      <c r="I1056" s="362" t="n"/>
      <c r="J1056" s="10" t="n"/>
      <c r="K1056" s="10" t="n"/>
      <c r="L1056" s="10" t="n"/>
      <c r="M1056" s="10" t="n"/>
      <c r="N1056" s="10" t="n"/>
      <c r="O1056" s="10" t="n"/>
      <c r="P1056" s="10" t="n"/>
      <c r="Q1056" s="10" t="n"/>
      <c r="R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  <c r="H1057" s="10" t="n"/>
      <c r="I1057" s="362" t="n"/>
      <c r="J1057" s="10" t="n"/>
      <c r="K1057" s="10" t="n"/>
      <c r="L1057" s="10" t="n"/>
      <c r="M1057" s="10" t="n"/>
      <c r="N1057" s="10" t="n"/>
      <c r="O1057" s="10" t="n"/>
      <c r="P1057" s="10" t="n"/>
      <c r="Q1057" s="10" t="n"/>
      <c r="R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  <c r="H1058" s="10" t="n"/>
      <c r="I1058" s="362" t="n"/>
      <c r="J1058" s="10" t="n"/>
      <c r="K1058" s="10" t="n"/>
      <c r="L1058" s="10" t="n"/>
      <c r="M1058" s="10" t="n"/>
      <c r="N1058" s="10" t="n"/>
      <c r="O1058" s="10" t="n"/>
      <c r="P1058" s="10" t="n"/>
      <c r="Q1058" s="10" t="n"/>
      <c r="R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  <c r="H1059" s="10" t="n"/>
      <c r="I1059" s="362" t="n"/>
      <c r="J1059" s="10" t="n"/>
      <c r="K1059" s="10" t="n"/>
      <c r="L1059" s="10" t="n"/>
      <c r="M1059" s="10" t="n"/>
      <c r="N1059" s="10" t="n"/>
      <c r="O1059" s="10" t="n"/>
      <c r="P1059" s="10" t="n"/>
      <c r="Q1059" s="10" t="n"/>
      <c r="R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  <c r="H1060" s="10" t="n"/>
      <c r="I1060" s="362" t="n"/>
      <c r="J1060" s="10" t="n"/>
      <c r="K1060" s="10" t="n"/>
      <c r="L1060" s="10" t="n"/>
      <c r="M1060" s="10" t="n"/>
      <c r="N1060" s="10" t="n"/>
      <c r="O1060" s="10" t="n"/>
      <c r="P1060" s="10" t="n"/>
      <c r="Q1060" s="10" t="n"/>
      <c r="R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  <c r="H1061" s="10" t="n"/>
      <c r="I1061" s="362" t="n"/>
      <c r="J1061" s="10" t="n"/>
      <c r="K1061" s="10" t="n"/>
      <c r="L1061" s="10" t="n"/>
      <c r="M1061" s="10" t="n"/>
      <c r="N1061" s="10" t="n"/>
      <c r="O1061" s="10" t="n"/>
      <c r="P1061" s="10" t="n"/>
      <c r="Q1061" s="10" t="n"/>
      <c r="R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  <c r="H1062" s="10" t="n"/>
      <c r="I1062" s="362" t="n"/>
      <c r="J1062" s="10" t="n"/>
      <c r="K1062" s="10" t="n"/>
      <c r="L1062" s="10" t="n"/>
      <c r="M1062" s="10" t="n"/>
      <c r="N1062" s="10" t="n"/>
      <c r="O1062" s="10" t="n"/>
      <c r="P1062" s="10" t="n"/>
      <c r="Q1062" s="10" t="n"/>
      <c r="R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  <c r="H1063" s="10" t="n"/>
      <c r="I1063" s="362" t="n"/>
      <c r="J1063" s="10" t="n"/>
      <c r="K1063" s="10" t="n"/>
      <c r="L1063" s="10" t="n"/>
      <c r="M1063" s="10" t="n"/>
      <c r="N1063" s="10" t="n"/>
      <c r="O1063" s="10" t="n"/>
      <c r="P1063" s="10" t="n"/>
      <c r="Q1063" s="10" t="n"/>
      <c r="R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  <c r="H1064" s="10" t="n"/>
      <c r="I1064" s="362" t="n"/>
      <c r="J1064" s="10" t="n"/>
      <c r="K1064" s="10" t="n"/>
      <c r="L1064" s="10" t="n"/>
      <c r="M1064" s="10" t="n"/>
      <c r="N1064" s="10" t="n"/>
      <c r="O1064" s="10" t="n"/>
      <c r="P1064" s="10" t="n"/>
      <c r="Q1064" s="10" t="n"/>
      <c r="R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  <c r="H1065" s="10" t="n"/>
      <c r="I1065" s="362" t="n"/>
      <c r="J1065" s="10" t="n"/>
      <c r="K1065" s="10" t="n"/>
      <c r="L1065" s="10" t="n"/>
      <c r="M1065" s="10" t="n"/>
      <c r="N1065" s="10" t="n"/>
      <c r="O1065" s="10" t="n"/>
      <c r="P1065" s="10" t="n"/>
      <c r="Q1065" s="10" t="n"/>
      <c r="R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  <c r="H1066" s="10" t="n"/>
      <c r="I1066" s="362" t="n"/>
      <c r="J1066" s="10" t="n"/>
      <c r="K1066" s="10" t="n"/>
      <c r="L1066" s="10" t="n"/>
      <c r="M1066" s="10" t="n"/>
      <c r="N1066" s="10" t="n"/>
      <c r="O1066" s="10" t="n"/>
      <c r="P1066" s="10" t="n"/>
      <c r="Q1066" s="10" t="n"/>
      <c r="R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  <c r="H1067" s="10" t="n"/>
      <c r="I1067" s="362" t="n"/>
      <c r="J1067" s="10" t="n"/>
      <c r="K1067" s="10" t="n"/>
      <c r="L1067" s="10" t="n"/>
      <c r="M1067" s="10" t="n"/>
      <c r="N1067" s="10" t="n"/>
      <c r="O1067" s="10" t="n"/>
      <c r="P1067" s="10" t="n"/>
      <c r="Q1067" s="10" t="n"/>
      <c r="R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  <c r="H1068" s="10" t="n"/>
      <c r="I1068" s="362" t="n"/>
      <c r="J1068" s="10" t="n"/>
      <c r="K1068" s="10" t="n"/>
      <c r="L1068" s="10" t="n"/>
      <c r="M1068" s="10" t="n"/>
      <c r="N1068" s="10" t="n"/>
      <c r="O1068" s="10" t="n"/>
      <c r="P1068" s="10" t="n"/>
      <c r="Q1068" s="10" t="n"/>
      <c r="R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  <c r="H1069" s="10" t="n"/>
      <c r="I1069" s="362" t="n"/>
      <c r="J1069" s="10" t="n"/>
      <c r="K1069" s="10" t="n"/>
      <c r="L1069" s="10" t="n"/>
      <c r="M1069" s="10" t="n"/>
      <c r="N1069" s="10" t="n"/>
      <c r="O1069" s="10" t="n"/>
      <c r="P1069" s="10" t="n"/>
      <c r="Q1069" s="10" t="n"/>
      <c r="R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  <c r="H1070" s="10" t="n"/>
      <c r="I1070" s="362" t="n"/>
      <c r="J1070" s="10" t="n"/>
      <c r="K1070" s="10" t="n"/>
      <c r="L1070" s="10" t="n"/>
      <c r="M1070" s="10" t="n"/>
      <c r="N1070" s="10" t="n"/>
      <c r="O1070" s="10" t="n"/>
      <c r="P1070" s="10" t="n"/>
      <c r="Q1070" s="10" t="n"/>
      <c r="R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  <c r="H1071" s="10" t="n"/>
      <c r="I1071" s="362" t="n"/>
      <c r="J1071" s="10" t="n"/>
      <c r="K1071" s="10" t="n"/>
      <c r="L1071" s="10" t="n"/>
      <c r="M1071" s="10" t="n"/>
      <c r="N1071" s="10" t="n"/>
      <c r="O1071" s="10" t="n"/>
      <c r="P1071" s="10" t="n"/>
      <c r="Q1071" s="10" t="n"/>
      <c r="R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  <c r="H1072" s="10" t="n"/>
      <c r="I1072" s="362" t="n"/>
      <c r="J1072" s="10" t="n"/>
      <c r="K1072" s="10" t="n"/>
      <c r="L1072" s="10" t="n"/>
      <c r="M1072" s="10" t="n"/>
      <c r="N1072" s="10" t="n"/>
      <c r="O1072" s="10" t="n"/>
      <c r="P1072" s="10" t="n"/>
      <c r="Q1072" s="10" t="n"/>
      <c r="R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  <c r="H1073" s="10" t="n"/>
      <c r="I1073" s="362" t="n"/>
      <c r="J1073" s="10" t="n"/>
      <c r="K1073" s="10" t="n"/>
      <c r="L1073" s="10" t="n"/>
      <c r="M1073" s="10" t="n"/>
      <c r="N1073" s="10" t="n"/>
      <c r="O1073" s="10" t="n"/>
      <c r="P1073" s="10" t="n"/>
      <c r="Q1073" s="10" t="n"/>
      <c r="R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  <c r="H1074" s="10" t="n"/>
      <c r="I1074" s="362" t="n"/>
      <c r="J1074" s="10" t="n"/>
      <c r="K1074" s="10" t="n"/>
      <c r="L1074" s="10" t="n"/>
      <c r="M1074" s="10" t="n"/>
      <c r="N1074" s="10" t="n"/>
      <c r="O1074" s="10" t="n"/>
      <c r="P1074" s="10" t="n"/>
      <c r="Q1074" s="10" t="n"/>
      <c r="R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  <c r="H1075" s="10" t="n"/>
      <c r="I1075" s="362" t="n"/>
      <c r="J1075" s="10" t="n"/>
      <c r="K1075" s="10" t="n"/>
      <c r="L1075" s="10" t="n"/>
      <c r="M1075" s="10" t="n"/>
      <c r="N1075" s="10" t="n"/>
      <c r="O1075" s="10" t="n"/>
      <c r="P1075" s="10" t="n"/>
      <c r="Q1075" s="10" t="n"/>
      <c r="R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  <c r="H1076" s="10" t="n"/>
      <c r="I1076" s="362" t="n"/>
      <c r="J1076" s="10" t="n"/>
      <c r="K1076" s="10" t="n"/>
      <c r="L1076" s="10" t="n"/>
      <c r="M1076" s="10" t="n"/>
      <c r="N1076" s="10" t="n"/>
      <c r="O1076" s="10" t="n"/>
      <c r="P1076" s="10" t="n"/>
      <c r="Q1076" s="10" t="n"/>
      <c r="R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  <c r="H1077" s="10" t="n"/>
      <c r="I1077" s="362" t="n"/>
      <c r="J1077" s="10" t="n"/>
      <c r="K1077" s="10" t="n"/>
      <c r="L1077" s="10" t="n"/>
      <c r="M1077" s="10" t="n"/>
      <c r="N1077" s="10" t="n"/>
      <c r="O1077" s="10" t="n"/>
      <c r="P1077" s="10" t="n"/>
      <c r="Q1077" s="10" t="n"/>
      <c r="R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  <c r="H1078" s="10" t="n"/>
      <c r="I1078" s="362" t="n"/>
      <c r="J1078" s="10" t="n"/>
      <c r="K1078" s="10" t="n"/>
      <c r="L1078" s="10" t="n"/>
      <c r="M1078" s="10" t="n"/>
      <c r="N1078" s="10" t="n"/>
      <c r="O1078" s="10" t="n"/>
      <c r="P1078" s="10" t="n"/>
      <c r="Q1078" s="10" t="n"/>
      <c r="R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  <c r="H1079" s="10" t="n"/>
      <c r="I1079" s="362" t="n"/>
      <c r="J1079" s="10" t="n"/>
      <c r="K1079" s="10" t="n"/>
      <c r="L1079" s="10" t="n"/>
      <c r="M1079" s="10" t="n"/>
      <c r="N1079" s="10" t="n"/>
      <c r="O1079" s="10" t="n"/>
      <c r="P1079" s="10" t="n"/>
      <c r="Q1079" s="10" t="n"/>
      <c r="R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  <c r="H1080" s="10" t="n"/>
      <c r="I1080" s="362" t="n"/>
      <c r="J1080" s="10" t="n"/>
      <c r="K1080" s="10" t="n"/>
      <c r="L1080" s="10" t="n"/>
      <c r="M1080" s="10" t="n"/>
      <c r="N1080" s="10" t="n"/>
      <c r="O1080" s="10" t="n"/>
      <c r="P1080" s="10" t="n"/>
      <c r="Q1080" s="10" t="n"/>
      <c r="R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  <c r="H1081" s="10" t="n"/>
      <c r="I1081" s="362" t="n"/>
      <c r="J1081" s="10" t="n"/>
      <c r="K1081" s="10" t="n"/>
      <c r="L1081" s="10" t="n"/>
      <c r="M1081" s="10" t="n"/>
      <c r="N1081" s="10" t="n"/>
      <c r="O1081" s="10" t="n"/>
      <c r="P1081" s="10" t="n"/>
      <c r="Q1081" s="10" t="n"/>
      <c r="R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  <c r="H1082" s="10" t="n"/>
      <c r="I1082" s="362" t="n"/>
      <c r="J1082" s="10" t="n"/>
      <c r="K1082" s="10" t="n"/>
      <c r="L1082" s="10" t="n"/>
      <c r="M1082" s="10" t="n"/>
      <c r="N1082" s="10" t="n"/>
      <c r="O1082" s="10" t="n"/>
      <c r="P1082" s="10" t="n"/>
      <c r="Q1082" s="10" t="n"/>
      <c r="R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  <c r="H1083" s="10" t="n"/>
      <c r="I1083" s="362" t="n"/>
      <c r="J1083" s="10" t="n"/>
      <c r="K1083" s="10" t="n"/>
      <c r="L1083" s="10" t="n"/>
      <c r="M1083" s="10" t="n"/>
      <c r="N1083" s="10" t="n"/>
      <c r="O1083" s="10" t="n"/>
      <c r="P1083" s="10" t="n"/>
      <c r="Q1083" s="10" t="n"/>
      <c r="R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  <c r="H1084" s="10" t="n"/>
      <c r="I1084" s="362" t="n"/>
      <c r="J1084" s="10" t="n"/>
      <c r="K1084" s="10" t="n"/>
      <c r="L1084" s="10" t="n"/>
      <c r="M1084" s="10" t="n"/>
      <c r="N1084" s="10" t="n"/>
      <c r="O1084" s="10" t="n"/>
      <c r="P1084" s="10" t="n"/>
      <c r="Q1084" s="10" t="n"/>
      <c r="R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  <c r="H1085" s="10" t="n"/>
      <c r="I1085" s="362" t="n"/>
      <c r="J1085" s="10" t="n"/>
      <c r="K1085" s="10" t="n"/>
      <c r="L1085" s="10" t="n"/>
      <c r="M1085" s="10" t="n"/>
      <c r="N1085" s="10" t="n"/>
      <c r="O1085" s="10" t="n"/>
      <c r="P1085" s="10" t="n"/>
      <c r="Q1085" s="10" t="n"/>
      <c r="R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  <c r="H1086" s="10" t="n"/>
      <c r="I1086" s="362" t="n"/>
      <c r="J1086" s="10" t="n"/>
      <c r="K1086" s="10" t="n"/>
      <c r="L1086" s="10" t="n"/>
      <c r="M1086" s="10" t="n"/>
      <c r="N1086" s="10" t="n"/>
      <c r="O1086" s="10" t="n"/>
      <c r="P1086" s="10" t="n"/>
      <c r="Q1086" s="10" t="n"/>
      <c r="R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  <c r="H1087" s="10" t="n"/>
      <c r="I1087" s="362" t="n"/>
      <c r="J1087" s="10" t="n"/>
      <c r="K1087" s="10" t="n"/>
      <c r="L1087" s="10" t="n"/>
      <c r="M1087" s="10" t="n"/>
      <c r="N1087" s="10" t="n"/>
      <c r="O1087" s="10" t="n"/>
      <c r="P1087" s="10" t="n"/>
      <c r="Q1087" s="10" t="n"/>
      <c r="R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  <c r="H1088" s="10" t="n"/>
      <c r="I1088" s="362" t="n"/>
      <c r="J1088" s="10" t="n"/>
      <c r="K1088" s="10" t="n"/>
      <c r="L1088" s="10" t="n"/>
      <c r="M1088" s="10" t="n"/>
      <c r="N1088" s="10" t="n"/>
      <c r="O1088" s="10" t="n"/>
      <c r="P1088" s="10" t="n"/>
      <c r="Q1088" s="10" t="n"/>
      <c r="R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  <c r="H1089" s="10" t="n"/>
      <c r="I1089" s="362" t="n"/>
      <c r="J1089" s="10" t="n"/>
      <c r="K1089" s="10" t="n"/>
      <c r="L1089" s="10" t="n"/>
      <c r="M1089" s="10" t="n"/>
      <c r="N1089" s="10" t="n"/>
      <c r="O1089" s="10" t="n"/>
      <c r="P1089" s="10" t="n"/>
      <c r="Q1089" s="10" t="n"/>
      <c r="R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  <c r="H1090" s="10" t="n"/>
      <c r="I1090" s="362" t="n"/>
      <c r="J1090" s="10" t="n"/>
      <c r="K1090" s="10" t="n"/>
      <c r="L1090" s="10" t="n"/>
      <c r="M1090" s="10" t="n"/>
      <c r="N1090" s="10" t="n"/>
      <c r="O1090" s="10" t="n"/>
      <c r="P1090" s="10" t="n"/>
      <c r="Q1090" s="10" t="n"/>
      <c r="R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  <c r="H1091" s="10" t="n"/>
      <c r="I1091" s="362" t="n"/>
      <c r="J1091" s="10" t="n"/>
      <c r="K1091" s="10" t="n"/>
      <c r="L1091" s="10" t="n"/>
      <c r="M1091" s="10" t="n"/>
      <c r="N1091" s="10" t="n"/>
      <c r="O1091" s="10" t="n"/>
      <c r="P1091" s="10" t="n"/>
      <c r="Q1091" s="10" t="n"/>
      <c r="R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  <c r="H1092" s="10" t="n"/>
      <c r="I1092" s="362" t="n"/>
      <c r="J1092" s="10" t="n"/>
      <c r="K1092" s="10" t="n"/>
      <c r="L1092" s="10" t="n"/>
      <c r="M1092" s="10" t="n"/>
      <c r="N1092" s="10" t="n"/>
      <c r="O1092" s="10" t="n"/>
      <c r="P1092" s="10" t="n"/>
      <c r="Q1092" s="10" t="n"/>
      <c r="R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  <c r="H1093" s="10" t="n"/>
      <c r="I1093" s="362" t="n"/>
      <c r="J1093" s="10" t="n"/>
      <c r="K1093" s="10" t="n"/>
      <c r="L1093" s="10" t="n"/>
      <c r="M1093" s="10" t="n"/>
      <c r="N1093" s="10" t="n"/>
      <c r="O1093" s="10" t="n"/>
      <c r="P1093" s="10" t="n"/>
      <c r="Q1093" s="10" t="n"/>
      <c r="R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  <c r="H1094" s="10" t="n"/>
      <c r="I1094" s="362" t="n"/>
      <c r="J1094" s="10" t="n"/>
      <c r="K1094" s="10" t="n"/>
      <c r="L1094" s="10" t="n"/>
      <c r="M1094" s="10" t="n"/>
      <c r="N1094" s="10" t="n"/>
      <c r="O1094" s="10" t="n"/>
      <c r="P1094" s="10" t="n"/>
      <c r="Q1094" s="10" t="n"/>
      <c r="R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  <c r="H1095" s="10" t="n"/>
      <c r="I1095" s="362" t="n"/>
      <c r="J1095" s="10" t="n"/>
      <c r="K1095" s="10" t="n"/>
      <c r="L1095" s="10" t="n"/>
      <c r="M1095" s="10" t="n"/>
      <c r="N1095" s="10" t="n"/>
      <c r="O1095" s="10" t="n"/>
      <c r="P1095" s="10" t="n"/>
      <c r="Q1095" s="10" t="n"/>
      <c r="R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  <c r="H1096" s="10" t="n"/>
      <c r="I1096" s="362" t="n"/>
      <c r="J1096" s="10" t="n"/>
      <c r="K1096" s="10" t="n"/>
      <c r="L1096" s="10" t="n"/>
      <c r="M1096" s="10" t="n"/>
      <c r="N1096" s="10" t="n"/>
      <c r="O1096" s="10" t="n"/>
      <c r="P1096" s="10" t="n"/>
      <c r="Q1096" s="10" t="n"/>
      <c r="R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  <c r="H1097" s="10" t="n"/>
      <c r="I1097" s="362" t="n"/>
      <c r="J1097" s="10" t="n"/>
      <c r="K1097" s="10" t="n"/>
      <c r="L1097" s="10" t="n"/>
      <c r="M1097" s="10" t="n"/>
      <c r="N1097" s="10" t="n"/>
      <c r="O1097" s="10" t="n"/>
      <c r="P1097" s="10" t="n"/>
      <c r="Q1097" s="10" t="n"/>
      <c r="R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  <c r="H1098" s="10" t="n"/>
      <c r="I1098" s="362" t="n"/>
      <c r="J1098" s="10" t="n"/>
      <c r="K1098" s="10" t="n"/>
      <c r="L1098" s="10" t="n"/>
      <c r="M1098" s="10" t="n"/>
      <c r="N1098" s="10" t="n"/>
      <c r="O1098" s="10" t="n"/>
      <c r="P1098" s="10" t="n"/>
      <c r="Q1098" s="10" t="n"/>
      <c r="R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  <c r="H1099" s="10" t="n"/>
      <c r="I1099" s="362" t="n"/>
      <c r="J1099" s="10" t="n"/>
      <c r="K1099" s="10" t="n"/>
      <c r="L1099" s="10" t="n"/>
      <c r="M1099" s="10" t="n"/>
      <c r="N1099" s="10" t="n"/>
      <c r="O1099" s="10" t="n"/>
      <c r="P1099" s="10" t="n"/>
      <c r="Q1099" s="10" t="n"/>
      <c r="R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  <c r="H1100" s="10" t="n"/>
      <c r="I1100" s="362" t="n"/>
      <c r="J1100" s="10" t="n"/>
      <c r="K1100" s="10" t="n"/>
      <c r="L1100" s="10" t="n"/>
      <c r="M1100" s="10" t="n"/>
      <c r="N1100" s="10" t="n"/>
      <c r="O1100" s="10" t="n"/>
      <c r="P1100" s="10" t="n"/>
      <c r="Q1100" s="10" t="n"/>
      <c r="R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  <c r="H1101" s="10" t="n"/>
      <c r="I1101" s="362" t="n"/>
      <c r="J1101" s="10" t="n"/>
      <c r="K1101" s="10" t="n"/>
      <c r="L1101" s="10" t="n"/>
      <c r="M1101" s="10" t="n"/>
      <c r="N1101" s="10" t="n"/>
      <c r="O1101" s="10" t="n"/>
      <c r="P1101" s="10" t="n"/>
      <c r="Q1101" s="10" t="n"/>
      <c r="R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  <c r="H1102" s="10" t="n"/>
      <c r="I1102" s="362" t="n"/>
      <c r="J1102" s="10" t="n"/>
      <c r="K1102" s="10" t="n"/>
      <c r="L1102" s="10" t="n"/>
      <c r="M1102" s="10" t="n"/>
      <c r="N1102" s="10" t="n"/>
      <c r="O1102" s="10" t="n"/>
      <c r="P1102" s="10" t="n"/>
      <c r="Q1102" s="10" t="n"/>
      <c r="R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  <c r="H1103" s="10" t="n"/>
      <c r="I1103" s="362" t="n"/>
      <c r="J1103" s="10" t="n"/>
      <c r="K1103" s="10" t="n"/>
      <c r="L1103" s="10" t="n"/>
      <c r="M1103" s="10" t="n"/>
      <c r="N1103" s="10" t="n"/>
      <c r="O1103" s="10" t="n"/>
      <c r="P1103" s="10" t="n"/>
      <c r="Q1103" s="10" t="n"/>
      <c r="R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  <c r="H1104" s="10" t="n"/>
      <c r="I1104" s="362" t="n"/>
      <c r="J1104" s="10" t="n"/>
      <c r="K1104" s="10" t="n"/>
      <c r="L1104" s="10" t="n"/>
      <c r="M1104" s="10" t="n"/>
      <c r="N1104" s="10" t="n"/>
      <c r="O1104" s="10" t="n"/>
      <c r="P1104" s="10" t="n"/>
      <c r="Q1104" s="10" t="n"/>
      <c r="R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  <c r="H1105" s="10" t="n"/>
      <c r="I1105" s="362" t="n"/>
      <c r="J1105" s="10" t="n"/>
      <c r="K1105" s="10" t="n"/>
      <c r="L1105" s="10" t="n"/>
      <c r="M1105" s="10" t="n"/>
      <c r="N1105" s="10" t="n"/>
      <c r="O1105" s="10" t="n"/>
      <c r="P1105" s="10" t="n"/>
      <c r="Q1105" s="10" t="n"/>
      <c r="R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  <c r="H1106" s="10" t="n"/>
      <c r="I1106" s="362" t="n"/>
      <c r="J1106" s="10" t="n"/>
      <c r="K1106" s="10" t="n"/>
      <c r="L1106" s="10" t="n"/>
      <c r="M1106" s="10" t="n"/>
      <c r="N1106" s="10" t="n"/>
      <c r="O1106" s="10" t="n"/>
      <c r="P1106" s="10" t="n"/>
      <c r="Q1106" s="10" t="n"/>
      <c r="R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  <c r="H1107" s="10" t="n"/>
      <c r="I1107" s="362" t="n"/>
      <c r="J1107" s="10" t="n"/>
      <c r="K1107" s="10" t="n"/>
      <c r="L1107" s="10" t="n"/>
      <c r="M1107" s="10" t="n"/>
      <c r="N1107" s="10" t="n"/>
      <c r="O1107" s="10" t="n"/>
      <c r="P1107" s="10" t="n"/>
      <c r="Q1107" s="10" t="n"/>
      <c r="R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  <c r="H1108" s="10" t="n"/>
      <c r="I1108" s="362" t="n"/>
      <c r="J1108" s="10" t="n"/>
      <c r="K1108" s="10" t="n"/>
      <c r="L1108" s="10" t="n"/>
      <c r="M1108" s="10" t="n"/>
      <c r="N1108" s="10" t="n"/>
      <c r="O1108" s="10" t="n"/>
      <c r="P1108" s="10" t="n"/>
      <c r="Q1108" s="10" t="n"/>
      <c r="R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  <c r="H1109" s="10" t="n"/>
      <c r="I1109" s="362" t="n"/>
      <c r="J1109" s="10" t="n"/>
      <c r="K1109" s="10" t="n"/>
      <c r="L1109" s="10" t="n"/>
      <c r="M1109" s="10" t="n"/>
      <c r="N1109" s="10" t="n"/>
      <c r="O1109" s="10" t="n"/>
      <c r="P1109" s="10" t="n"/>
      <c r="Q1109" s="10" t="n"/>
      <c r="R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  <c r="H1110" s="10" t="n"/>
      <c r="I1110" s="362" t="n"/>
      <c r="J1110" s="10" t="n"/>
      <c r="K1110" s="10" t="n"/>
      <c r="L1110" s="10" t="n"/>
      <c r="M1110" s="10" t="n"/>
      <c r="N1110" s="10" t="n"/>
      <c r="O1110" s="10" t="n"/>
      <c r="P1110" s="10" t="n"/>
      <c r="Q1110" s="10" t="n"/>
      <c r="R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  <c r="H1111" s="10" t="n"/>
      <c r="I1111" s="362" t="n"/>
      <c r="J1111" s="10" t="n"/>
      <c r="K1111" s="10" t="n"/>
      <c r="L1111" s="10" t="n"/>
      <c r="M1111" s="10" t="n"/>
      <c r="N1111" s="10" t="n"/>
      <c r="O1111" s="10" t="n"/>
      <c r="P1111" s="10" t="n"/>
      <c r="Q1111" s="10" t="n"/>
      <c r="R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  <c r="H1112" s="10" t="n"/>
      <c r="I1112" s="362" t="n"/>
      <c r="J1112" s="10" t="n"/>
      <c r="K1112" s="10" t="n"/>
      <c r="L1112" s="10" t="n"/>
      <c r="M1112" s="10" t="n"/>
      <c r="N1112" s="10" t="n"/>
      <c r="O1112" s="10" t="n"/>
      <c r="P1112" s="10" t="n"/>
      <c r="Q1112" s="10" t="n"/>
      <c r="R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  <c r="H1113" s="10" t="n"/>
      <c r="I1113" s="362" t="n"/>
      <c r="J1113" s="10" t="n"/>
      <c r="K1113" s="10" t="n"/>
      <c r="L1113" s="10" t="n"/>
      <c r="M1113" s="10" t="n"/>
      <c r="N1113" s="10" t="n"/>
      <c r="O1113" s="10" t="n"/>
      <c r="P1113" s="10" t="n"/>
      <c r="Q1113" s="10" t="n"/>
      <c r="R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  <c r="H1114" s="10" t="n"/>
      <c r="I1114" s="362" t="n"/>
      <c r="J1114" s="10" t="n"/>
      <c r="K1114" s="10" t="n"/>
      <c r="L1114" s="10" t="n"/>
      <c r="M1114" s="10" t="n"/>
      <c r="N1114" s="10" t="n"/>
      <c r="O1114" s="10" t="n"/>
      <c r="P1114" s="10" t="n"/>
      <c r="Q1114" s="10" t="n"/>
      <c r="R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  <c r="H1115" s="10" t="n"/>
      <c r="I1115" s="362" t="n"/>
      <c r="J1115" s="10" t="n"/>
      <c r="K1115" s="10" t="n"/>
      <c r="L1115" s="10" t="n"/>
      <c r="M1115" s="10" t="n"/>
      <c r="N1115" s="10" t="n"/>
      <c r="O1115" s="10" t="n"/>
      <c r="P1115" s="10" t="n"/>
      <c r="Q1115" s="10" t="n"/>
      <c r="R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  <c r="H1116" s="10" t="n"/>
      <c r="I1116" s="362" t="n"/>
      <c r="J1116" s="10" t="n"/>
      <c r="K1116" s="10" t="n"/>
      <c r="L1116" s="10" t="n"/>
      <c r="M1116" s="10" t="n"/>
      <c r="N1116" s="10" t="n"/>
      <c r="O1116" s="10" t="n"/>
      <c r="P1116" s="10" t="n"/>
      <c r="Q1116" s="10" t="n"/>
      <c r="R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  <c r="H1117" s="10" t="n"/>
      <c r="I1117" s="362" t="n"/>
      <c r="J1117" s="10" t="n"/>
      <c r="K1117" s="10" t="n"/>
      <c r="L1117" s="10" t="n"/>
      <c r="M1117" s="10" t="n"/>
      <c r="N1117" s="10" t="n"/>
      <c r="O1117" s="10" t="n"/>
      <c r="P1117" s="10" t="n"/>
      <c r="Q1117" s="10" t="n"/>
      <c r="R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  <c r="H1118" s="10" t="n"/>
      <c r="I1118" s="362" t="n"/>
      <c r="J1118" s="10" t="n"/>
      <c r="K1118" s="10" t="n"/>
      <c r="L1118" s="10" t="n"/>
      <c r="M1118" s="10" t="n"/>
      <c r="N1118" s="10" t="n"/>
      <c r="O1118" s="10" t="n"/>
      <c r="P1118" s="10" t="n"/>
      <c r="Q1118" s="10" t="n"/>
      <c r="R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  <c r="H1119" s="10" t="n"/>
      <c r="I1119" s="362" t="n"/>
      <c r="J1119" s="10" t="n"/>
      <c r="K1119" s="10" t="n"/>
      <c r="L1119" s="10" t="n"/>
      <c r="M1119" s="10" t="n"/>
      <c r="N1119" s="10" t="n"/>
      <c r="O1119" s="10" t="n"/>
      <c r="P1119" s="10" t="n"/>
      <c r="Q1119" s="10" t="n"/>
      <c r="R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  <c r="H1120" s="10" t="n"/>
      <c r="I1120" s="362" t="n"/>
      <c r="J1120" s="10" t="n"/>
      <c r="K1120" s="10" t="n"/>
      <c r="L1120" s="10" t="n"/>
      <c r="M1120" s="10" t="n"/>
      <c r="N1120" s="10" t="n"/>
      <c r="O1120" s="10" t="n"/>
      <c r="P1120" s="10" t="n"/>
      <c r="Q1120" s="10" t="n"/>
      <c r="R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  <c r="H1121" s="10" t="n"/>
      <c r="I1121" s="362" t="n"/>
      <c r="J1121" s="10" t="n"/>
      <c r="K1121" s="10" t="n"/>
      <c r="L1121" s="10" t="n"/>
      <c r="M1121" s="10" t="n"/>
      <c r="N1121" s="10" t="n"/>
      <c r="O1121" s="10" t="n"/>
      <c r="P1121" s="10" t="n"/>
      <c r="Q1121" s="10" t="n"/>
      <c r="R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  <c r="H1122" s="10" t="n"/>
      <c r="I1122" s="362" t="n"/>
      <c r="J1122" s="10" t="n"/>
      <c r="K1122" s="10" t="n"/>
      <c r="L1122" s="10" t="n"/>
      <c r="M1122" s="10" t="n"/>
      <c r="N1122" s="10" t="n"/>
      <c r="O1122" s="10" t="n"/>
      <c r="P1122" s="10" t="n"/>
      <c r="Q1122" s="10" t="n"/>
      <c r="R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  <c r="H1123" s="10" t="n"/>
      <c r="I1123" s="362" t="n"/>
      <c r="J1123" s="10" t="n"/>
      <c r="K1123" s="10" t="n"/>
      <c r="L1123" s="10" t="n"/>
      <c r="M1123" s="10" t="n"/>
      <c r="N1123" s="10" t="n"/>
      <c r="O1123" s="10" t="n"/>
      <c r="P1123" s="10" t="n"/>
      <c r="Q1123" s="10" t="n"/>
      <c r="R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  <c r="H1124" s="10" t="n"/>
      <c r="I1124" s="362" t="n"/>
      <c r="J1124" s="10" t="n"/>
      <c r="K1124" s="10" t="n"/>
      <c r="L1124" s="10" t="n"/>
      <c r="M1124" s="10" t="n"/>
      <c r="N1124" s="10" t="n"/>
      <c r="O1124" s="10" t="n"/>
      <c r="P1124" s="10" t="n"/>
      <c r="Q1124" s="10" t="n"/>
      <c r="R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  <c r="H1125" s="10" t="n"/>
      <c r="I1125" s="362" t="n"/>
      <c r="J1125" s="10" t="n"/>
      <c r="K1125" s="10" t="n"/>
      <c r="L1125" s="10" t="n"/>
      <c r="M1125" s="10" t="n"/>
      <c r="N1125" s="10" t="n"/>
      <c r="O1125" s="10" t="n"/>
      <c r="P1125" s="10" t="n"/>
      <c r="Q1125" s="10" t="n"/>
      <c r="R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  <c r="H1126" s="10" t="n"/>
      <c r="I1126" s="362" t="n"/>
      <c r="J1126" s="10" t="n"/>
      <c r="K1126" s="10" t="n"/>
      <c r="L1126" s="10" t="n"/>
      <c r="M1126" s="10" t="n"/>
      <c r="N1126" s="10" t="n"/>
      <c r="O1126" s="10" t="n"/>
      <c r="P1126" s="10" t="n"/>
      <c r="Q1126" s="10" t="n"/>
      <c r="R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  <c r="H1127" s="10" t="n"/>
      <c r="I1127" s="362" t="n"/>
      <c r="J1127" s="10" t="n"/>
      <c r="K1127" s="10" t="n"/>
      <c r="L1127" s="10" t="n"/>
      <c r="M1127" s="10" t="n"/>
      <c r="N1127" s="10" t="n"/>
      <c r="O1127" s="10" t="n"/>
      <c r="P1127" s="10" t="n"/>
      <c r="Q1127" s="10" t="n"/>
      <c r="R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  <c r="H1128" s="10" t="n"/>
      <c r="I1128" s="362" t="n"/>
      <c r="J1128" s="10" t="n"/>
      <c r="K1128" s="10" t="n"/>
      <c r="L1128" s="10" t="n"/>
      <c r="M1128" s="10" t="n"/>
      <c r="N1128" s="10" t="n"/>
      <c r="O1128" s="10" t="n"/>
      <c r="P1128" s="10" t="n"/>
      <c r="Q1128" s="10" t="n"/>
      <c r="R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  <c r="H1129" s="10" t="n"/>
      <c r="I1129" s="362" t="n"/>
      <c r="J1129" s="10" t="n"/>
      <c r="K1129" s="10" t="n"/>
      <c r="L1129" s="10" t="n"/>
      <c r="M1129" s="10" t="n"/>
      <c r="N1129" s="10" t="n"/>
      <c r="O1129" s="10" t="n"/>
      <c r="P1129" s="10" t="n"/>
      <c r="Q1129" s="10" t="n"/>
      <c r="R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  <c r="H1130" s="10" t="n"/>
      <c r="I1130" s="362" t="n"/>
      <c r="J1130" s="10" t="n"/>
      <c r="K1130" s="10" t="n"/>
      <c r="L1130" s="10" t="n"/>
      <c r="M1130" s="10" t="n"/>
      <c r="N1130" s="10" t="n"/>
      <c r="O1130" s="10" t="n"/>
      <c r="P1130" s="10" t="n"/>
      <c r="Q1130" s="10" t="n"/>
      <c r="R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  <c r="H1131" s="10" t="n"/>
      <c r="I1131" s="362" t="n"/>
      <c r="J1131" s="10" t="n"/>
      <c r="K1131" s="10" t="n"/>
      <c r="L1131" s="10" t="n"/>
      <c r="M1131" s="10" t="n"/>
      <c r="N1131" s="10" t="n"/>
      <c r="O1131" s="10" t="n"/>
      <c r="P1131" s="10" t="n"/>
      <c r="Q1131" s="10" t="n"/>
      <c r="R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  <c r="H1132" s="10" t="n"/>
      <c r="I1132" s="362" t="n"/>
      <c r="J1132" s="10" t="n"/>
      <c r="K1132" s="10" t="n"/>
      <c r="L1132" s="10" t="n"/>
      <c r="M1132" s="10" t="n"/>
      <c r="N1132" s="10" t="n"/>
      <c r="O1132" s="10" t="n"/>
      <c r="P1132" s="10" t="n"/>
      <c r="Q1132" s="10" t="n"/>
      <c r="R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  <c r="H1133" s="10" t="n"/>
      <c r="I1133" s="362" t="n"/>
      <c r="J1133" s="10" t="n"/>
      <c r="K1133" s="10" t="n"/>
      <c r="L1133" s="10" t="n"/>
      <c r="M1133" s="10" t="n"/>
      <c r="N1133" s="10" t="n"/>
      <c r="O1133" s="10" t="n"/>
      <c r="P1133" s="10" t="n"/>
      <c r="Q1133" s="10" t="n"/>
      <c r="R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  <c r="H1134" s="10" t="n"/>
      <c r="I1134" s="362" t="n"/>
      <c r="J1134" s="10" t="n"/>
      <c r="K1134" s="10" t="n"/>
      <c r="L1134" s="10" t="n"/>
      <c r="M1134" s="10" t="n"/>
      <c r="N1134" s="10" t="n"/>
      <c r="O1134" s="10" t="n"/>
      <c r="P1134" s="10" t="n"/>
      <c r="Q1134" s="10" t="n"/>
      <c r="R1134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957"/>
  <sheetViews>
    <sheetView workbookViewId="0">
      <selection activeCell="A1" sqref="A1"/>
    </sheetView>
  </sheetViews>
  <sheetFormatPr baseColWidth="8" defaultColWidth="14.43" defaultRowHeight="15" customHeight="1"/>
  <cols>
    <col width="35.29" customWidth="1" style="552" min="1" max="1"/>
    <col width="16.43" customWidth="1" style="552" min="2" max="2"/>
    <col width="13.29" customWidth="1" style="552" min="3" max="4"/>
    <col width="8.710000000000001" customWidth="1" style="552" min="5" max="5"/>
    <col width="14.43" customWidth="1" style="552" min="6" max="12"/>
  </cols>
  <sheetData>
    <row r="1">
      <c r="A1" s="553" t="inlineStr">
        <is>
          <t>Invasion Universe</t>
        </is>
      </c>
      <c r="B1" s="554" t="n"/>
      <c r="C1" s="554" t="n"/>
      <c r="D1" s="554" t="n"/>
      <c r="E1" s="555" t="n"/>
      <c r="F1" s="17" t="n"/>
      <c r="G1" s="17" t="n"/>
      <c r="H1" s="17" t="n"/>
      <c r="I1" s="17" t="n"/>
      <c r="J1" s="17" t="n"/>
      <c r="K1" s="6" t="n"/>
      <c r="L1" s="10" t="n"/>
      <c r="M1" s="10" t="n"/>
      <c r="N1" s="10" t="n"/>
    </row>
    <row r="2">
      <c r="A2" s="556" t="inlineStr">
        <is>
          <t>AST</t>
        </is>
      </c>
      <c r="B2" s="557" t="n"/>
      <c r="C2" s="557" t="n"/>
      <c r="D2" s="557" t="n"/>
      <c r="E2" s="558" t="n"/>
      <c r="F2" s="17" t="n"/>
      <c r="G2" s="17" t="n"/>
      <c r="H2" s="17" t="n"/>
      <c r="I2" s="17" t="n"/>
      <c r="J2" s="17" t="n"/>
      <c r="K2" s="6" t="n"/>
      <c r="L2" s="10" t="n"/>
      <c r="M2" s="10" t="n"/>
      <c r="N2" s="10" t="n"/>
    </row>
    <row r="3">
      <c r="A3" s="38" t="inlineStr">
        <is>
          <t>Контакт +7 (000) 000 - 00 - 00 / время заказа до 16:00</t>
        </is>
      </c>
      <c r="B3" s="557" t="n"/>
      <c r="C3" s="557" t="n"/>
      <c r="D3" s="557" t="n"/>
      <c r="E3" s="558" t="n"/>
      <c r="F3" s="17" t="n"/>
      <c r="G3" s="17" t="n"/>
      <c r="H3" s="17" t="n"/>
      <c r="I3" s="17" t="n"/>
      <c r="J3" s="17" t="n"/>
      <c r="K3" s="6" t="n"/>
      <c r="L3" s="10" t="n"/>
      <c r="M3" s="10" t="n"/>
      <c r="N3" s="10" t="n"/>
    </row>
    <row r="4">
      <c r="A4" s="35" t="inlineStr">
        <is>
          <t>Название</t>
        </is>
      </c>
      <c r="B4" s="38" t="inlineStr">
        <is>
          <t>Цена</t>
        </is>
      </c>
      <c r="C4" s="38" t="inlineStr">
        <is>
          <t>Мера</t>
        </is>
      </c>
      <c r="D4" s="38" t="inlineStr">
        <is>
          <t>Заказ</t>
        </is>
      </c>
      <c r="E4" s="38" t="inlineStr">
        <is>
          <t>Сумма</t>
        </is>
      </c>
      <c r="F4" s="17" t="n"/>
      <c r="G4" s="17" t="n"/>
      <c r="H4" s="17" t="n"/>
      <c r="I4" s="17" t="n"/>
      <c r="J4" s="17" t="n"/>
      <c r="K4" s="6" t="n"/>
      <c r="L4" s="10" t="n"/>
      <c r="M4" s="10" t="n"/>
      <c r="N4" s="10" t="n"/>
    </row>
    <row r="5">
      <c r="A5" s="113" t="inlineStr">
        <is>
          <t>FANTINEL BORGO TESIS PINOT GRIGIO</t>
        </is>
      </c>
      <c r="B5" s="389" t="n">
        <v>311.5</v>
      </c>
      <c r="C5" s="99" t="n">
        <v>0.75</v>
      </c>
      <c r="D5" s="66" t="n"/>
      <c r="E5" s="51">
        <f>B5*D5</f>
        <v/>
      </c>
      <c r="F5" s="17" t="n"/>
      <c r="G5" s="17" t="n"/>
      <c r="H5" s="17" t="n"/>
      <c r="I5" s="17" t="n"/>
      <c r="J5" s="17" t="n"/>
      <c r="K5" s="59" t="n"/>
      <c r="L5" s="10" t="n"/>
      <c r="M5" s="10" t="n"/>
      <c r="N5" s="10" t="n"/>
    </row>
    <row r="6">
      <c r="A6" s="113" t="inlineStr">
        <is>
          <t>KRIS CHARDONNAY</t>
        </is>
      </c>
      <c r="B6" s="389" t="n">
        <v>348.5</v>
      </c>
      <c r="C6" s="99" t="n">
        <v>0.75</v>
      </c>
      <c r="D6" s="66" t="n"/>
      <c r="E6" s="51">
        <f>B6*D6</f>
        <v/>
      </c>
      <c r="F6" s="17" t="n"/>
      <c r="G6" s="17" t="n"/>
      <c r="H6" s="17" t="n"/>
      <c r="I6" s="17" t="n"/>
      <c r="J6" s="17" t="n"/>
      <c r="K6" s="59" t="n"/>
      <c r="L6" s="10" t="n"/>
      <c r="M6" s="10" t="n"/>
      <c r="N6" s="10" t="n"/>
    </row>
    <row r="7">
      <c r="A7" s="113" t="inlineStr">
        <is>
          <t xml:space="preserve">THE NED SAUVIGNON BLANC </t>
        </is>
      </c>
      <c r="B7" s="389" t="n">
        <v>385.5</v>
      </c>
      <c r="C7" s="99" t="n">
        <v>0.75</v>
      </c>
      <c r="D7" s="66" t="n"/>
      <c r="E7" s="51">
        <f>B7*D7</f>
        <v/>
      </c>
      <c r="F7" s="17" t="n"/>
      <c r="G7" s="17" t="n"/>
      <c r="H7" s="17" t="n"/>
      <c r="I7" s="17" t="n"/>
      <c r="J7" s="17" t="n"/>
      <c r="K7" s="59" t="n"/>
      <c r="L7" s="10" t="n"/>
      <c r="M7" s="10" t="n"/>
      <c r="N7" s="10" t="n"/>
    </row>
    <row r="8">
      <c r="A8" s="113" t="inlineStr">
        <is>
          <t>TAMARI MALBEC SPECIAL SELECSION</t>
        </is>
      </c>
      <c r="B8" s="389" t="n">
        <v>422.5</v>
      </c>
      <c r="C8" s="99" t="n">
        <v>0.75</v>
      </c>
      <c r="D8" s="66" t="n"/>
      <c r="E8" s="51">
        <f>B8*D8</f>
        <v/>
      </c>
      <c r="F8" s="17" t="n"/>
      <c r="G8" s="17" t="n"/>
      <c r="H8" s="17" t="n"/>
      <c r="I8" s="17" t="n"/>
      <c r="J8" s="17" t="n"/>
      <c r="K8" s="59" t="n"/>
      <c r="L8" s="10" t="n"/>
      <c r="M8" s="10" t="n"/>
      <c r="N8" s="10" t="n"/>
    </row>
    <row r="9">
      <c r="A9" s="113" t="inlineStr">
        <is>
          <t>GRASSL GRUNER VELTLINER</t>
        </is>
      </c>
      <c r="B9" s="389" t="n">
        <v>459.5</v>
      </c>
      <c r="C9" s="99" t="n">
        <v>0.75</v>
      </c>
      <c r="D9" s="66" t="n"/>
      <c r="E9" s="51">
        <f>B9*D9</f>
        <v/>
      </c>
      <c r="F9" s="17" t="n"/>
      <c r="G9" s="17" t="n"/>
      <c r="H9" s="17" t="n"/>
      <c r="I9" s="17" t="n"/>
      <c r="J9" s="17" t="n"/>
      <c r="K9" s="59" t="n"/>
      <c r="L9" s="10" t="n"/>
      <c r="M9" s="10" t="n"/>
      <c r="N9" s="10" t="n"/>
    </row>
    <row r="10">
      <c r="A10" s="113" t="inlineStr">
        <is>
          <t>BUENA VISTA ZINFANDEL</t>
        </is>
      </c>
      <c r="B10" s="389" t="n">
        <v>496.5</v>
      </c>
      <c r="C10" s="99" t="n">
        <v>0.75</v>
      </c>
      <c r="D10" s="66" t="n"/>
      <c r="E10" s="51">
        <f>B10*D10</f>
        <v/>
      </c>
      <c r="F10" s="17" t="n"/>
      <c r="G10" s="17" t="n"/>
      <c r="H10" s="17" t="n"/>
      <c r="I10" s="17" t="n"/>
      <c r="J10" s="17" t="n"/>
      <c r="K10" s="59" t="n"/>
      <c r="L10" s="10" t="n"/>
      <c r="M10" s="10" t="n"/>
      <c r="N10" s="10" t="n"/>
    </row>
    <row r="11">
      <c r="A11" s="106" t="inlineStr">
        <is>
          <t>MONKEY 47</t>
        </is>
      </c>
      <c r="B11" s="389" t="n">
        <v>533.5</v>
      </c>
      <c r="C11" s="99" t="n">
        <v>0.5</v>
      </c>
      <c r="D11" s="66" t="n"/>
      <c r="E11" s="51">
        <f>B11*D11</f>
        <v/>
      </c>
      <c r="F11" s="17" t="n"/>
      <c r="G11" s="17" t="n"/>
      <c r="H11" s="17" t="n"/>
      <c r="I11" s="17" t="n"/>
      <c r="J11" s="17" t="n"/>
      <c r="K11" s="59" t="n"/>
      <c r="L11" s="10" t="n"/>
      <c r="M11" s="10" t="n"/>
      <c r="N11" s="10" t="n"/>
    </row>
    <row r="12">
      <c r="A12" s="113" t="inlineStr">
        <is>
          <t xml:space="preserve">CRUXLAND </t>
        </is>
      </c>
      <c r="B12" s="389" t="n">
        <v>570.5</v>
      </c>
      <c r="C12" s="99" t="n">
        <v>0.75</v>
      </c>
      <c r="D12" s="66" t="n"/>
      <c r="E12" s="51">
        <f>B12*D12</f>
        <v/>
      </c>
      <c r="F12" s="17" t="n"/>
      <c r="G12" s="17" t="n"/>
      <c r="H12" s="17" t="n"/>
      <c r="I12" s="17" t="n"/>
      <c r="J12" s="17" t="n"/>
      <c r="K12" s="59" t="n"/>
      <c r="L12" s="10" t="n"/>
      <c r="M12" s="10" t="n"/>
      <c r="N12" s="10" t="n"/>
    </row>
    <row r="13">
      <c r="A13" s="113" t="inlineStr">
        <is>
          <t>ROKU</t>
        </is>
      </c>
      <c r="B13" s="389" t="n">
        <v>607.5</v>
      </c>
      <c r="C13" s="99" t="n">
        <v>0.7</v>
      </c>
      <c r="D13" s="66" t="n"/>
      <c r="E13" s="51">
        <f>B13*D13</f>
        <v/>
      </c>
      <c r="F13" s="17" t="n"/>
      <c r="G13" s="17" t="n"/>
      <c r="H13" s="17" t="n"/>
      <c r="I13" s="17" t="n"/>
      <c r="J13" s="17" t="n"/>
      <c r="K13" s="59" t="n"/>
      <c r="L13" s="10" t="n"/>
      <c r="M13" s="10" t="n"/>
      <c r="N13" s="10" t="n"/>
    </row>
    <row r="14">
      <c r="A14" s="106" t="inlineStr">
        <is>
          <t>LILLET BLANC</t>
        </is>
      </c>
      <c r="B14" s="389" t="n">
        <v>644.5</v>
      </c>
      <c r="C14" s="99" t="n">
        <v>0.75</v>
      </c>
      <c r="D14" s="66" t="n"/>
      <c r="E14" s="51">
        <f>B14*D14</f>
        <v/>
      </c>
      <c r="F14" s="17" t="n"/>
      <c r="G14" s="17" t="n"/>
      <c r="H14" s="17" t="n"/>
      <c r="I14" s="17" t="n"/>
      <c r="J14" s="17" t="n"/>
      <c r="K14" s="59" t="n"/>
      <c r="L14" s="10" t="n"/>
      <c r="M14" s="10" t="n"/>
      <c r="N14" s="10" t="n"/>
    </row>
    <row r="15">
      <c r="A15" s="97" t="inlineStr">
        <is>
          <t>KAHLUA</t>
        </is>
      </c>
      <c r="B15" s="389" t="n">
        <v>681.5</v>
      </c>
      <c r="C15" s="99" t="n">
        <v>1</v>
      </c>
      <c r="D15" s="66" t="n"/>
      <c r="E15" s="51">
        <f>B15*D15</f>
        <v/>
      </c>
      <c r="F15" s="17" t="n"/>
      <c r="G15" s="17" t="n"/>
      <c r="H15" s="17" t="n"/>
      <c r="I15" s="17" t="n"/>
      <c r="J15" s="17" t="n"/>
      <c r="K15" s="59" t="n"/>
      <c r="L15" s="10" t="n"/>
      <c r="M15" s="10" t="n"/>
      <c r="N15" s="10" t="n"/>
    </row>
    <row r="16">
      <c r="A16" s="113" t="inlineStr">
        <is>
          <t>DU PERE LAIZE VS</t>
        </is>
      </c>
      <c r="B16" s="389" t="n">
        <v>718.5</v>
      </c>
      <c r="C16" s="99" t="n">
        <v>0.7</v>
      </c>
      <c r="D16" s="66" t="n"/>
      <c r="E16" s="51">
        <f>B16*D16</f>
        <v/>
      </c>
      <c r="F16" s="17" t="n"/>
      <c r="G16" s="17" t="n"/>
      <c r="H16" s="17" t="n"/>
      <c r="I16" s="17" t="n"/>
      <c r="J16" s="17" t="n"/>
      <c r="K16" s="59" t="n"/>
      <c r="L16" s="10" t="n"/>
      <c r="M16" s="10" t="n"/>
      <c r="N16" s="10" t="n"/>
    </row>
    <row r="17">
      <c r="A17" s="113" t="inlineStr">
        <is>
          <t>BRUGAL 1888</t>
        </is>
      </c>
      <c r="B17" s="389" t="n">
        <v>755.5</v>
      </c>
      <c r="C17" s="99" t="n">
        <v>0.7</v>
      </c>
      <c r="D17" s="66" t="n"/>
      <c r="E17" s="51">
        <f>B17*D17</f>
        <v/>
      </c>
      <c r="F17" s="17" t="n"/>
      <c r="G17" s="17" t="n"/>
      <c r="H17" s="17" t="n"/>
      <c r="I17" s="17" t="n"/>
      <c r="J17" s="17" t="n"/>
      <c r="K17" s="59" t="n"/>
      <c r="L17" s="10" t="n"/>
      <c r="M17" s="10" t="n"/>
      <c r="N17" s="10" t="n"/>
    </row>
    <row r="18">
      <c r="A18" s="113" t="inlineStr">
        <is>
          <t>BOTUCAL RESERVA EXCLUSIVA</t>
        </is>
      </c>
      <c r="B18" s="389" t="n">
        <v>792.5</v>
      </c>
      <c r="C18" s="99" t="n">
        <v>0.7</v>
      </c>
      <c r="D18" s="66" t="n"/>
      <c r="E18" s="51">
        <f>B18*D18</f>
        <v/>
      </c>
      <c r="F18" s="17" t="n"/>
      <c r="G18" s="17" t="n"/>
      <c r="H18" s="17" t="n"/>
      <c r="I18" s="17" t="n"/>
      <c r="J18" s="17" t="n"/>
      <c r="K18" s="59" t="n"/>
      <c r="L18" s="10" t="n"/>
      <c r="M18" s="10" t="n"/>
      <c r="N18" s="10" t="n"/>
    </row>
    <row r="19">
      <c r="A19" s="182" t="inlineStr">
        <is>
          <t>BENEDECTIN</t>
        </is>
      </c>
      <c r="B19" s="389" t="n">
        <v>829.5</v>
      </c>
      <c r="C19" s="69" t="n">
        <v>0.7</v>
      </c>
      <c r="D19" s="71" t="n"/>
      <c r="E19" s="51">
        <f>B19*D19</f>
        <v/>
      </c>
      <c r="F19" s="17" t="n"/>
      <c r="G19" s="17" t="n"/>
      <c r="H19" s="17" t="n"/>
      <c r="I19" s="17" t="n"/>
      <c r="J19" s="17" t="n"/>
      <c r="K19" s="59" t="n"/>
      <c r="L19" s="10" t="n"/>
      <c r="M19" s="10" t="n"/>
      <c r="N19" s="10" t="n"/>
    </row>
    <row r="20">
      <c r="A20" s="182" t="inlineStr">
        <is>
          <t>GRAND MARNIER</t>
        </is>
      </c>
      <c r="B20" s="389" t="n">
        <v>866.5</v>
      </c>
      <c r="C20" s="69" t="n">
        <v>0.7</v>
      </c>
      <c r="D20" s="44" t="n"/>
      <c r="E20" s="51">
        <f>B20*D20</f>
        <v/>
      </c>
      <c r="F20" s="17" t="n"/>
      <c r="G20" s="17" t="n"/>
      <c r="H20" s="17" t="n"/>
      <c r="I20" s="17" t="n"/>
      <c r="J20" s="17" t="n"/>
      <c r="K20" s="59" t="n"/>
      <c r="L20" s="10" t="n"/>
      <c r="M20" s="10" t="n"/>
      <c r="N20" s="10" t="n"/>
    </row>
    <row r="21">
      <c r="A21" s="182" t="inlineStr">
        <is>
          <t>FRANGELICO</t>
        </is>
      </c>
      <c r="B21" s="389" t="n">
        <v>903.5</v>
      </c>
      <c r="C21" s="99" t="n">
        <v>0.7</v>
      </c>
      <c r="D21" s="66" t="n"/>
      <c r="E21" s="51">
        <f>B21*D21</f>
        <v/>
      </c>
      <c r="F21" s="17" t="n"/>
      <c r="G21" s="17" t="n"/>
      <c r="H21" s="17" t="n"/>
      <c r="I21" s="17" t="n"/>
      <c r="J21" s="17" t="n"/>
      <c r="K21" s="59" t="n"/>
      <c r="L21" s="10" t="n"/>
      <c r="M21" s="10" t="n"/>
      <c r="N21" s="10" t="n"/>
    </row>
    <row r="22">
      <c r="A22" s="113" t="inlineStr">
        <is>
          <t>LIMONCELLO</t>
        </is>
      </c>
      <c r="B22" s="389" t="n">
        <v>940.5</v>
      </c>
      <c r="C22" s="99" t="n">
        <v>0.5</v>
      </c>
      <c r="D22" s="66" t="n"/>
      <c r="E22" s="51">
        <f>B22*D22</f>
        <v/>
      </c>
      <c r="F22" s="17" t="n"/>
      <c r="G22" s="17" t="n"/>
      <c r="H22" s="17" t="n"/>
      <c r="I22" s="17" t="n"/>
      <c r="J22" s="17" t="n"/>
      <c r="K22" s="59" t="n"/>
      <c r="L22" s="10" t="n"/>
      <c r="M22" s="10" t="n"/>
      <c r="N22" s="10" t="n"/>
    </row>
    <row r="23">
      <c r="A23" s="79" t="inlineStr">
        <is>
          <t>Сумма</t>
        </is>
      </c>
      <c r="B23" s="557" t="n"/>
      <c r="C23" s="557" t="n"/>
      <c r="D23" s="558" t="n"/>
      <c r="E23" s="79">
        <f>SUM(E5:E22)</f>
        <v/>
      </c>
      <c r="F23" s="17" t="n"/>
      <c r="G23" s="17" t="n"/>
      <c r="H23" s="17" t="n"/>
      <c r="I23" s="17" t="n"/>
      <c r="J23" s="17" t="n"/>
      <c r="K23" s="59" t="n"/>
      <c r="L23" s="10" t="n"/>
      <c r="M23" s="10" t="n"/>
      <c r="N23" s="10" t="n"/>
    </row>
    <row r="24">
      <c r="A24" s="559" t="inlineStr">
        <is>
          <t>BELUGA</t>
        </is>
      </c>
      <c r="B24" s="557" t="n"/>
      <c r="C24" s="557" t="n"/>
      <c r="D24" s="557" t="n"/>
      <c r="E24" s="558" t="n"/>
      <c r="F24" s="17" t="n"/>
      <c r="G24" s="17" t="n"/>
      <c r="H24" s="17" t="n"/>
      <c r="I24" s="17" t="n"/>
      <c r="J24" s="17" t="n"/>
      <c r="K24" s="59" t="n"/>
      <c r="L24" s="10" t="n"/>
      <c r="M24" s="10" t="n"/>
      <c r="N24" s="10" t="n"/>
    </row>
    <row r="25">
      <c r="A25" s="560" t="inlineStr">
        <is>
          <t>Контакт +7 (000) 000 - 00 - 00 / время заказа до 16:00</t>
        </is>
      </c>
      <c r="B25" s="557" t="n"/>
      <c r="C25" s="557" t="n"/>
      <c r="D25" s="557" t="n"/>
      <c r="E25" s="558" t="n"/>
      <c r="F25" s="17" t="n"/>
      <c r="G25" s="17" t="n"/>
      <c r="H25" s="17" t="n"/>
      <c r="I25" s="17" t="n"/>
      <c r="J25" s="17" t="n"/>
      <c r="K25" s="59" t="n"/>
      <c r="L25" s="10" t="n"/>
      <c r="M25" s="10" t="n"/>
      <c r="N25" s="10" t="n"/>
    </row>
    <row r="26">
      <c r="A26" s="83" t="inlineStr">
        <is>
          <t>Название</t>
        </is>
      </c>
      <c r="B26" s="38" t="inlineStr">
        <is>
          <t>Цена</t>
        </is>
      </c>
      <c r="C26" s="38" t="inlineStr">
        <is>
          <t>Мера</t>
        </is>
      </c>
      <c r="D26" s="38" t="inlineStr">
        <is>
          <t>Заказ</t>
        </is>
      </c>
      <c r="E26" s="38" t="inlineStr">
        <is>
          <t>Сумма</t>
        </is>
      </c>
      <c r="F26" s="17" t="n"/>
      <c r="G26" s="17" t="n"/>
      <c r="H26" s="17" t="n"/>
      <c r="I26" s="17" t="n"/>
      <c r="J26" s="17" t="n"/>
      <c r="K26" s="59" t="n"/>
      <c r="L26" s="10" t="n"/>
      <c r="M26" s="10" t="n"/>
      <c r="N26" s="10" t="n"/>
    </row>
    <row r="27">
      <c r="A27" s="106" t="inlineStr">
        <is>
          <t>BELUGA NOBLE</t>
        </is>
      </c>
      <c r="B27" s="84" t="n">
        <v>1125.5</v>
      </c>
      <c r="C27" s="99" t="n">
        <v>1</v>
      </c>
      <c r="D27" s="66" t="n"/>
      <c r="E27" s="51">
        <f>B27*D27</f>
        <v/>
      </c>
      <c r="F27" s="17" t="n"/>
      <c r="G27" s="17" t="n"/>
      <c r="H27" s="17" t="n"/>
      <c r="I27" s="17" t="n"/>
      <c r="J27" s="17" t="n"/>
      <c r="K27" s="59" t="n"/>
      <c r="L27" s="10" t="n"/>
      <c r="M27" s="10" t="n"/>
      <c r="N27" s="10" t="n"/>
    </row>
    <row r="28">
      <c r="A28" s="106" t="inlineStr">
        <is>
          <t>BELUGA GOLD LINE</t>
        </is>
      </c>
      <c r="B28" s="389" t="n">
        <v>1162.5</v>
      </c>
      <c r="C28" s="99" t="n">
        <v>0.75</v>
      </c>
      <c r="D28" s="66" t="n"/>
      <c r="E28" s="51">
        <f>B28*D28</f>
        <v/>
      </c>
      <c r="F28" s="17" t="n"/>
      <c r="G28" s="17" t="n"/>
      <c r="H28" s="17" t="n"/>
      <c r="I28" s="17" t="n"/>
      <c r="J28" s="17" t="n"/>
      <c r="K28" s="59" t="n"/>
      <c r="L28" s="10" t="n"/>
      <c r="M28" s="10" t="n"/>
      <c r="N28" s="10" t="n"/>
    </row>
    <row r="29">
      <c r="A29" s="97" t="inlineStr">
        <is>
          <t>HENDRICK’S</t>
        </is>
      </c>
      <c r="B29" s="389" t="n">
        <v>1199.5</v>
      </c>
      <c r="C29" s="99" t="n">
        <v>0.75</v>
      </c>
      <c r="D29" s="66" t="n"/>
      <c r="E29" s="51">
        <f>B29*D29</f>
        <v/>
      </c>
      <c r="F29" s="17" t="n"/>
      <c r="G29" s="17" t="n"/>
      <c r="H29" s="17" t="n"/>
      <c r="I29" s="17" t="n"/>
      <c r="J29" s="17" t="n"/>
      <c r="K29" s="59" t="n"/>
      <c r="L29" s="10" t="n"/>
      <c r="M29" s="10" t="n"/>
      <c r="N29" s="10" t="n"/>
    </row>
    <row r="30">
      <c r="A30" s="106" t="inlineStr">
        <is>
          <t>GLENFIDDICH 12</t>
        </is>
      </c>
      <c r="B30" s="389" t="n">
        <v>1236.5</v>
      </c>
      <c r="C30" s="99" t="n">
        <v>0.7</v>
      </c>
      <c r="D30" s="66" t="n"/>
      <c r="E30" s="51">
        <f>B30*D30</f>
        <v/>
      </c>
      <c r="F30" s="17" t="n"/>
      <c r="G30" s="17" t="n"/>
      <c r="H30" s="17" t="n"/>
      <c r="I30" s="17" t="n"/>
      <c r="J30" s="17" t="n"/>
      <c r="K30" s="59" t="n"/>
      <c r="L30" s="10" t="n"/>
      <c r="M30" s="10" t="n"/>
      <c r="N30" s="10" t="n"/>
    </row>
    <row r="31">
      <c r="A31" s="97" t="inlineStr">
        <is>
          <t>SAILOR JERRY</t>
        </is>
      </c>
      <c r="B31" s="389" t="n">
        <v>1273.5</v>
      </c>
      <c r="C31" s="99" t="n">
        <v>0.7</v>
      </c>
      <c r="D31" s="66" t="n"/>
      <c r="E31" s="51">
        <f>B31*D31</f>
        <v/>
      </c>
      <c r="F31" s="17" t="n"/>
      <c r="G31" s="17" t="n"/>
      <c r="H31" s="17" t="n"/>
      <c r="I31" s="17" t="n"/>
      <c r="J31" s="17" t="n"/>
      <c r="K31" s="59" t="n"/>
      <c r="L31" s="10" t="n"/>
      <c r="M31" s="10" t="n"/>
      <c r="N31" s="10" t="n"/>
    </row>
    <row r="32">
      <c r="A32" s="97" t="inlineStr">
        <is>
          <t>DRAMBUIE</t>
        </is>
      </c>
      <c r="B32" s="389" t="n">
        <v>1310.5</v>
      </c>
      <c r="C32" s="99" t="n">
        <v>0.7</v>
      </c>
      <c r="D32" s="66" t="n"/>
      <c r="E32" s="51">
        <f>B32*D32</f>
        <v/>
      </c>
      <c r="F32" s="17" t="n"/>
      <c r="G32" s="17" t="n"/>
      <c r="H32" s="17" t="n"/>
      <c r="I32" s="17" t="n"/>
      <c r="J32" s="17" t="n"/>
      <c r="K32" s="6" t="n"/>
      <c r="L32" s="10" t="n"/>
      <c r="M32" s="10" t="n"/>
      <c r="N32" s="10" t="n"/>
    </row>
    <row r="33">
      <c r="A33" s="106" t="inlineStr">
        <is>
          <t>PLANTATION 3 STAR</t>
        </is>
      </c>
      <c r="B33" s="389" t="n">
        <v>1347.5</v>
      </c>
      <c r="C33" s="99" t="n">
        <v>0.7</v>
      </c>
      <c r="D33" s="66" t="n"/>
      <c r="E33" s="51">
        <f>B33*D33</f>
        <v/>
      </c>
      <c r="F33" s="17" t="n"/>
      <c r="G33" s="17" t="n"/>
      <c r="H33" s="17" t="n"/>
      <c r="I33" s="17" t="n"/>
      <c r="J33" s="17" t="n"/>
      <c r="K33" s="6" t="n"/>
      <c r="L33" s="10" t="n"/>
      <c r="M33" s="10" t="n"/>
      <c r="N33" s="10" t="n"/>
    </row>
    <row r="34">
      <c r="A34" s="106" t="inlineStr">
        <is>
          <t>PLANTATION DARK</t>
        </is>
      </c>
      <c r="B34" s="389" t="n">
        <v>1384.5</v>
      </c>
      <c r="C34" s="99" t="n">
        <v>0.7</v>
      </c>
      <c r="D34" s="66" t="n"/>
      <c r="E34" s="51">
        <f>B34*D34</f>
        <v/>
      </c>
      <c r="F34" s="17" t="n"/>
      <c r="G34" s="17" t="n"/>
      <c r="H34" s="17" t="n"/>
      <c r="I34" s="17" t="n"/>
      <c r="J34" s="17" t="n"/>
      <c r="K34" s="6" t="n"/>
      <c r="L34" s="10" t="n"/>
      <c r="M34" s="10" t="n"/>
      <c r="N34" s="10" t="n"/>
    </row>
    <row r="35">
      <c r="A35" s="106" t="inlineStr">
        <is>
          <t>COINTREAU</t>
        </is>
      </c>
      <c r="B35" s="389" t="n">
        <v>1421.5</v>
      </c>
      <c r="C35" s="99" t="n">
        <v>1</v>
      </c>
      <c r="D35" s="66" t="n"/>
      <c r="E35" s="51">
        <f>B35*D35</f>
        <v/>
      </c>
      <c r="F35" s="17" t="n"/>
      <c r="G35" s="17" t="n"/>
      <c r="H35" s="17" t="n"/>
      <c r="I35" s="17" t="n"/>
      <c r="J35" s="17" t="n"/>
      <c r="K35" s="6" t="n"/>
      <c r="L35" s="10" t="n"/>
      <c r="M35" s="10" t="n"/>
      <c r="N35" s="10" t="n"/>
    </row>
    <row r="36" ht="15.75" customHeight="1" s="552">
      <c r="A36" s="106" t="inlineStr">
        <is>
          <t>AMARO MONTENEGRO</t>
        </is>
      </c>
      <c r="B36" s="389" t="n">
        <v>1458.5</v>
      </c>
      <c r="C36" s="99" t="n">
        <v>0.7</v>
      </c>
      <c r="D36" s="66" t="n"/>
      <c r="E36" s="51">
        <f>B36*D36</f>
        <v/>
      </c>
      <c r="F36" s="17" t="n"/>
      <c r="G36" s="17" t="n"/>
      <c r="H36" s="17" t="n"/>
      <c r="I36" s="17" t="n"/>
      <c r="J36" s="17" t="n"/>
      <c r="K36" s="6" t="n"/>
      <c r="L36" s="10" t="n"/>
      <c r="M36" s="10" t="n"/>
      <c r="N36" s="10" t="n"/>
    </row>
    <row r="37">
      <c r="A37" s="561" t="inlineStr">
        <is>
          <t>Сумма</t>
        </is>
      </c>
      <c r="B37" s="557" t="n"/>
      <c r="C37" s="557" t="n"/>
      <c r="D37" s="558" t="n"/>
      <c r="E37" s="79">
        <f>SUM(E27:E36)</f>
        <v/>
      </c>
      <c r="F37" s="17" t="n"/>
      <c r="G37" s="17" t="n"/>
      <c r="H37" s="17" t="n"/>
      <c r="I37" s="17" t="n"/>
      <c r="J37" s="17" t="n"/>
      <c r="K37" s="6" t="n"/>
      <c r="L37" s="10" t="n"/>
      <c r="M37" s="10" t="n"/>
      <c r="N37" s="10" t="n"/>
    </row>
    <row r="38">
      <c r="A38" s="559" t="inlineStr">
        <is>
          <t>Simple</t>
        </is>
      </c>
      <c r="B38" s="557" t="n"/>
      <c r="C38" s="557" t="n"/>
      <c r="D38" s="557" t="n"/>
      <c r="E38" s="558" t="n"/>
      <c r="F38" s="17" t="n"/>
      <c r="G38" s="17" t="n"/>
      <c r="H38" s="17" t="n"/>
      <c r="I38" s="17" t="n"/>
      <c r="J38" s="17" t="n"/>
      <c r="K38" s="6" t="n"/>
      <c r="L38" s="10" t="n"/>
      <c r="M38" s="10" t="n"/>
      <c r="N38" s="10" t="n"/>
    </row>
    <row r="39">
      <c r="A39" s="560" t="inlineStr">
        <is>
          <t>Контакт +7 (000) 000 - 00 - 00 / время заказа до 16:00</t>
        </is>
      </c>
      <c r="B39" s="557" t="n"/>
      <c r="C39" s="557" t="n"/>
      <c r="D39" s="557" t="n"/>
      <c r="E39" s="558" t="n"/>
      <c r="F39" s="17" t="n"/>
      <c r="G39" s="17" t="n"/>
      <c r="H39" s="17" t="n"/>
      <c r="I39" s="17" t="n"/>
      <c r="J39" s="17" t="n"/>
      <c r="K39" s="6" t="n"/>
      <c r="L39" s="10" t="n"/>
      <c r="M39" s="10" t="n"/>
      <c r="N39" s="10" t="n"/>
    </row>
    <row r="40">
      <c r="A40" s="83" t="inlineStr">
        <is>
          <t>Название</t>
        </is>
      </c>
      <c r="B40" s="38" t="inlineStr">
        <is>
          <t>Цена</t>
        </is>
      </c>
      <c r="C40" s="38" t="inlineStr">
        <is>
          <t>Мера</t>
        </is>
      </c>
      <c r="D40" s="38" t="inlineStr">
        <is>
          <t>Заказ</t>
        </is>
      </c>
      <c r="E40" s="38" t="inlineStr">
        <is>
          <t>Сумма</t>
        </is>
      </c>
      <c r="F40" s="17" t="n"/>
      <c r="G40" s="17" t="n"/>
      <c r="H40" s="17" t="n"/>
      <c r="I40" s="17" t="n"/>
      <c r="J40" s="17" t="n"/>
      <c r="K40" s="6" t="n"/>
      <c r="L40" s="10" t="n"/>
      <c r="M40" s="10" t="n"/>
      <c r="N40" s="10" t="n"/>
    </row>
    <row r="41">
      <c r="A41" s="106" t="inlineStr">
        <is>
          <t>PROSECCO, CASA DEFRA</t>
        </is>
      </c>
      <c r="B41" s="389" t="n">
        <v>1643.5</v>
      </c>
      <c r="C41" s="99" t="n">
        <v>0.75</v>
      </c>
      <c r="D41" s="66" t="n"/>
      <c r="E41" s="51">
        <f>B41*D41</f>
        <v/>
      </c>
      <c r="F41" s="17" t="n"/>
      <c r="G41" s="17" t="n"/>
      <c r="H41" s="17" t="n"/>
      <c r="I41" s="17" t="n"/>
      <c r="J41" s="17" t="n"/>
      <c r="K41" s="6" t="n"/>
      <c r="L41" s="10" t="n"/>
      <c r="M41" s="10" t="n"/>
      <c r="N41" s="10" t="n"/>
    </row>
    <row r="42">
      <c r="A42" s="106" t="inlineStr">
        <is>
          <t>URBAN RIESLING, NIK WEIS</t>
        </is>
      </c>
      <c r="B42" s="389" t="n">
        <v>1680.5</v>
      </c>
      <c r="C42" s="99" t="n">
        <v>0.75</v>
      </c>
      <c r="D42" s="407" t="n"/>
      <c r="E42" s="51">
        <f>B42*D42</f>
        <v/>
      </c>
      <c r="F42" s="17" t="n"/>
      <c r="G42" s="17" t="n"/>
      <c r="H42" s="17" t="n"/>
      <c r="I42" s="17" t="n"/>
      <c r="J42" s="17" t="n"/>
      <c r="K42" s="6" t="n"/>
      <c r="L42" s="10" t="n"/>
      <c r="M42" s="10" t="n"/>
      <c r="N42" s="10" t="n"/>
    </row>
    <row r="43">
      <c r="A43" s="106" t="inlineStr">
        <is>
          <t>PINOT NOIR, HANS BAER</t>
        </is>
      </c>
      <c r="B43" s="389" t="n">
        <v>1717.5</v>
      </c>
      <c r="C43" s="99" t="n">
        <v>0.75</v>
      </c>
      <c r="D43" s="66" t="n"/>
      <c r="E43" s="51">
        <f>B43*D43</f>
        <v/>
      </c>
      <c r="F43" s="17" t="n"/>
      <c r="G43" s="17" t="n"/>
      <c r="H43" s="17" t="n"/>
      <c r="I43" s="17" t="n"/>
      <c r="J43" s="17" t="n"/>
      <c r="K43" s="6" t="n"/>
      <c r="L43" s="10" t="n"/>
      <c r="M43" s="10" t="n"/>
      <c r="N43" s="10" t="n"/>
    </row>
    <row r="44">
      <c r="A44" s="106" t="inlineStr">
        <is>
          <t>CABERNET SAUVIGNON, SANTA CAROLINA</t>
        </is>
      </c>
      <c r="B44" s="389" t="n">
        <v>1754.5</v>
      </c>
      <c r="C44" s="99" t="n">
        <v>0.75</v>
      </c>
      <c r="D44" s="66" t="n"/>
      <c r="E44" s="51">
        <f>B44*D44</f>
        <v/>
      </c>
      <c r="F44" s="17" t="n"/>
      <c r="G44" s="17" t="n"/>
      <c r="H44" s="17" t="n"/>
      <c r="I44" s="17" t="n"/>
      <c r="J44" s="17" t="n"/>
      <c r="K44" s="6" t="n"/>
      <c r="L44" s="10" t="n"/>
      <c r="M44" s="10" t="n"/>
      <c r="N44" s="10" t="n"/>
    </row>
    <row r="45">
      <c r="A45" s="106" t="inlineStr">
        <is>
          <t xml:space="preserve">GAVI IL VALENTINO, LA SCOLCA </t>
        </is>
      </c>
      <c r="B45" s="389" t="n">
        <v>1791.5</v>
      </c>
      <c r="C45" s="99" t="n">
        <v>0.75</v>
      </c>
      <c r="D45" s="66" t="n"/>
      <c r="E45" s="51">
        <f>B45*D45</f>
        <v/>
      </c>
      <c r="F45" s="17" t="n"/>
      <c r="G45" s="17" t="n"/>
      <c r="H45" s="17" t="n"/>
      <c r="I45" s="17" t="n"/>
      <c r="J45" s="17" t="n"/>
      <c r="K45" s="6" t="n"/>
      <c r="L45" s="10" t="n"/>
      <c r="M45" s="10" t="n"/>
      <c r="N45" s="10" t="n"/>
    </row>
    <row r="46">
      <c r="A46" s="106" t="inlineStr">
        <is>
          <t>VALPOLICELLA DOC, BERTANI</t>
        </is>
      </c>
      <c r="B46" s="389" t="n">
        <v>1828.5</v>
      </c>
      <c r="C46" s="99" t="n">
        <v>0.75</v>
      </c>
      <c r="D46" s="66" t="n"/>
      <c r="E46" s="51">
        <f>B46*D46</f>
        <v/>
      </c>
      <c r="F46" s="17" t="n"/>
      <c r="G46" s="17" t="n"/>
      <c r="H46" s="17" t="n"/>
      <c r="I46" s="17" t="n"/>
      <c r="J46" s="17" t="n"/>
      <c r="K46" s="6" t="n"/>
      <c r="L46" s="10" t="n"/>
      <c r="M46" s="10" t="n"/>
      <c r="N46" s="10" t="n"/>
    </row>
    <row r="47">
      <c r="A47" s="97" t="inlineStr">
        <is>
          <t>SINGLETON 12</t>
        </is>
      </c>
      <c r="B47" s="389" t="n">
        <v>1865.5</v>
      </c>
      <c r="C47" s="99" t="n">
        <v>0.7</v>
      </c>
      <c r="D47" s="66" t="n"/>
      <c r="E47" s="51">
        <f>B47*D47</f>
        <v/>
      </c>
      <c r="F47" s="17" t="n"/>
      <c r="G47" s="17" t="n"/>
      <c r="H47" s="17" t="n"/>
      <c r="I47" s="17" t="n"/>
      <c r="J47" s="17" t="n"/>
      <c r="K47" s="6" t="n"/>
      <c r="L47" s="10" t="n"/>
      <c r="M47" s="10" t="n"/>
      <c r="N47" s="10" t="n"/>
    </row>
    <row r="48">
      <c r="A48" s="106" t="inlineStr">
        <is>
          <t>NONINO TRADIZIONE</t>
        </is>
      </c>
      <c r="B48" s="389" t="n">
        <v>1902.5</v>
      </c>
      <c r="C48" s="99" t="n">
        <v>1</v>
      </c>
      <c r="D48" s="66" t="n"/>
      <c r="E48" s="51">
        <f>B48*D48</f>
        <v/>
      </c>
      <c r="F48" s="17" t="n"/>
      <c r="G48" s="17" t="n"/>
      <c r="H48" s="17" t="n"/>
      <c r="I48" s="17" t="n"/>
      <c r="J48" s="17" t="n"/>
      <c r="K48" s="6" t="n"/>
      <c r="L48" s="10" t="n"/>
      <c r="M48" s="10" t="n"/>
      <c r="N48" s="10" t="n"/>
    </row>
    <row r="49">
      <c r="A49" s="106" t="inlineStr">
        <is>
          <t>NONINO AMARO QUINTSSENTIA</t>
        </is>
      </c>
      <c r="B49" s="389" t="n">
        <v>1939.5</v>
      </c>
      <c r="C49" s="99" t="n">
        <v>0.7</v>
      </c>
      <c r="D49" s="66" t="n"/>
      <c r="E49" s="51">
        <f>B49*D49</f>
        <v/>
      </c>
      <c r="F49" s="17" t="n"/>
      <c r="G49" s="17" t="n"/>
      <c r="H49" s="17" t="n"/>
      <c r="I49" s="17" t="n"/>
      <c r="J49" s="17" t="n"/>
      <c r="K49" s="6" t="n"/>
      <c r="L49" s="10" t="n"/>
      <c r="M49" s="10" t="n"/>
      <c r="N49" s="10" t="n"/>
    </row>
    <row r="50">
      <c r="A50" s="106" t="inlineStr">
        <is>
          <t>GRAHAM'S 10 YO TAWNY</t>
        </is>
      </c>
      <c r="B50" s="389" t="n">
        <v>1976.5</v>
      </c>
      <c r="C50" s="99" t="n">
        <v>0.75</v>
      </c>
      <c r="D50" s="66" t="n"/>
      <c r="E50" s="51">
        <f>B50*D50</f>
        <v/>
      </c>
      <c r="F50" s="17" t="n"/>
      <c r="G50" s="17" t="n"/>
      <c r="H50" s="17" t="n"/>
      <c r="I50" s="17" t="n"/>
      <c r="J50" s="17" t="n"/>
      <c r="K50" s="6" t="n"/>
      <c r="L50" s="10" t="n"/>
      <c r="M50" s="10" t="n"/>
      <c r="N50" s="10" t="n"/>
    </row>
    <row r="51">
      <c r="A51" s="106" t="inlineStr">
        <is>
          <t>VALDESPINO FINO INOCENTE</t>
        </is>
      </c>
      <c r="B51" s="389" t="n">
        <v>2013.5</v>
      </c>
      <c r="C51" s="99" t="n">
        <v>0.75</v>
      </c>
      <c r="D51" s="66" t="n"/>
      <c r="E51" s="51">
        <f>B51*D51</f>
        <v/>
      </c>
      <c r="F51" s="17" t="n"/>
      <c r="G51" s="17" t="n"/>
      <c r="H51" s="17" t="n"/>
      <c r="I51" s="17" t="n"/>
      <c r="J51" s="17" t="n"/>
      <c r="K51" s="6" t="n"/>
      <c r="L51" s="10" t="n"/>
      <c r="M51" s="10" t="n"/>
      <c r="N51" s="10" t="n"/>
    </row>
    <row r="52">
      <c r="A52" s="106" t="inlineStr">
        <is>
          <t>CARTRON MARASQUIN</t>
        </is>
      </c>
      <c r="B52" s="389" t="n">
        <v>2050.5</v>
      </c>
      <c r="C52" s="99" t="n">
        <v>0.7</v>
      </c>
      <c r="D52" s="66" t="n"/>
      <c r="E52" s="51">
        <f>B52*D52</f>
        <v/>
      </c>
      <c r="F52" s="17" t="n"/>
      <c r="G52" s="17" t="n"/>
      <c r="H52" s="17" t="n"/>
      <c r="I52" s="17" t="n"/>
      <c r="J52" s="17" t="n"/>
      <c r="K52" s="6" t="n"/>
      <c r="L52" s="10" t="n"/>
      <c r="M52" s="10" t="n"/>
      <c r="N52" s="10" t="n"/>
    </row>
    <row r="53">
      <c r="A53" s="106" t="inlineStr">
        <is>
          <t>CARTRON CREAM DE CASSIS</t>
        </is>
      </c>
      <c r="B53" s="389" t="n">
        <v>2087.5</v>
      </c>
      <c r="C53" s="99" t="n">
        <v>0.7</v>
      </c>
      <c r="D53" s="66" t="n"/>
      <c r="E53" s="51">
        <f>B53*D53</f>
        <v/>
      </c>
      <c r="F53" s="17" t="n"/>
      <c r="G53" s="17" t="n"/>
      <c r="H53" s="17" t="n"/>
      <c r="I53" s="17" t="n"/>
      <c r="J53" s="17" t="n"/>
      <c r="K53" s="6" t="n"/>
      <c r="L53" s="10" t="n"/>
      <c r="M53" s="10" t="n"/>
      <c r="N53" s="10" t="n"/>
    </row>
    <row r="54">
      <c r="A54" s="106" t="inlineStr">
        <is>
          <t>CARTRON AMARETTO</t>
        </is>
      </c>
      <c r="B54" s="389" t="n">
        <v>2124.5</v>
      </c>
      <c r="C54" s="99" t="n">
        <v>0.7</v>
      </c>
      <c r="D54" s="66" t="n"/>
      <c r="E54" s="51">
        <f>B54*D54</f>
        <v/>
      </c>
      <c r="F54" s="17" t="n"/>
      <c r="G54" s="17" t="n"/>
      <c r="H54" s="17" t="n"/>
      <c r="I54" s="17" t="n"/>
      <c r="J54" s="17" t="n"/>
      <c r="K54" s="6" t="n"/>
      <c r="L54" s="10" t="n"/>
      <c r="M54" s="10" t="n"/>
      <c r="N54" s="10" t="n"/>
    </row>
    <row r="55">
      <c r="A55" s="106" t="inlineStr">
        <is>
          <t>CARTRON CACAO WHITE</t>
        </is>
      </c>
      <c r="B55" s="389" t="n">
        <v>2161.5</v>
      </c>
      <c r="C55" s="99" t="n">
        <v>0.7</v>
      </c>
      <c r="D55" s="66" t="n"/>
      <c r="E55" s="51">
        <f>B55*D55</f>
        <v/>
      </c>
      <c r="F55" s="17" t="n"/>
      <c r="G55" s="17" t="n"/>
      <c r="H55" s="17" t="n"/>
      <c r="I55" s="17" t="n"/>
      <c r="J55" s="17" t="n"/>
      <c r="K55" s="6" t="n"/>
      <c r="L55" s="10" t="n"/>
      <c r="M55" s="10" t="n"/>
      <c r="N55" s="10" t="n"/>
    </row>
    <row r="56">
      <c r="A56" s="106" t="inlineStr">
        <is>
          <t>CARTRON COCODY</t>
        </is>
      </c>
      <c r="B56" s="389" t="n">
        <v>2198.5</v>
      </c>
      <c r="C56" s="99" t="n">
        <v>0.7</v>
      </c>
      <c r="D56" s="66" t="n"/>
      <c r="E56" s="51">
        <f>B56*D56</f>
        <v/>
      </c>
      <c r="F56" s="17" t="n"/>
      <c r="G56" s="17" t="n"/>
      <c r="H56" s="17" t="n"/>
      <c r="I56" s="17" t="n"/>
      <c r="J56" s="17" t="n"/>
      <c r="K56" s="6" t="n"/>
      <c r="L56" s="10" t="n"/>
      <c r="M56" s="10" t="n"/>
      <c r="N56" s="10" t="n"/>
    </row>
    <row r="57">
      <c r="A57" s="110" t="inlineStr">
        <is>
          <t>CARTRON VIOLET</t>
        </is>
      </c>
      <c r="B57" s="389" t="n">
        <v>2235.5</v>
      </c>
      <c r="C57" s="99" t="n">
        <v>0.7</v>
      </c>
      <c r="D57" s="66" t="n"/>
      <c r="E57" s="51">
        <f>B57*D57</f>
        <v/>
      </c>
      <c r="F57" s="17" t="n"/>
      <c r="G57" s="17" t="n"/>
      <c r="H57" s="17" t="n"/>
      <c r="I57" s="17" t="n"/>
      <c r="J57" s="17" t="n"/>
      <c r="K57" s="6" t="n"/>
      <c r="L57" s="10" t="n"/>
      <c r="M57" s="10" t="n"/>
      <c r="N57" s="10" t="n"/>
    </row>
    <row r="58">
      <c r="A58" s="106" t="inlineStr">
        <is>
          <t>AMARO SANTONI</t>
        </is>
      </c>
      <c r="B58" s="99" t="n">
        <v>2272.5</v>
      </c>
      <c r="C58" s="99" t="n">
        <v>0.7</v>
      </c>
      <c r="D58" s="66" t="n"/>
      <c r="E58" s="51">
        <f>B58*D58</f>
        <v/>
      </c>
      <c r="F58" s="17" t="n"/>
      <c r="G58" s="17" t="n"/>
      <c r="H58" s="17" t="n"/>
      <c r="I58" s="17" t="n"/>
      <c r="J58" s="17" t="n"/>
      <c r="K58" s="6" t="n"/>
      <c r="L58" s="10" t="n"/>
      <c r="M58" s="10" t="n"/>
      <c r="N58" s="10" t="n"/>
    </row>
    <row r="59">
      <c r="A59" s="113" t="inlineStr">
        <is>
          <t>JOSE CUERVO ESPESIAL SILVER</t>
        </is>
      </c>
      <c r="B59" s="389" t="n">
        <v>2309.5</v>
      </c>
      <c r="C59" s="99" t="n">
        <v>0.7</v>
      </c>
      <c r="D59" s="66" t="n"/>
      <c r="E59" s="51">
        <f>B59*D59</f>
        <v/>
      </c>
      <c r="F59" s="17" t="n"/>
      <c r="G59" s="17" t="n"/>
      <c r="H59" s="17" t="n"/>
      <c r="I59" s="17" t="n"/>
      <c r="J59" s="17" t="n"/>
      <c r="K59" s="6" t="n"/>
      <c r="L59" s="10" t="n"/>
      <c r="M59" s="10" t="n"/>
      <c r="N59" s="10" t="n"/>
    </row>
    <row r="60">
      <c r="A60" s="113" t="inlineStr">
        <is>
          <t>Louis Roederer brut</t>
        </is>
      </c>
      <c r="B60" s="389" t="n">
        <v>2346.5</v>
      </c>
      <c r="C60" s="99" t="n">
        <v>0.75</v>
      </c>
      <c r="D60" s="66" t="n"/>
      <c r="E60" s="51">
        <f>B60*D60</f>
        <v/>
      </c>
      <c r="F60" s="17" t="n"/>
      <c r="G60" s="17" t="n"/>
      <c r="H60" s="17" t="n"/>
      <c r="I60" s="17" t="n"/>
      <c r="J60" s="17" t="n"/>
      <c r="K60" s="6" t="n"/>
      <c r="L60" s="10" t="n"/>
      <c r="M60" s="10" t="n"/>
      <c r="N60" s="10" t="n"/>
    </row>
    <row r="61">
      <c r="A61" s="113" t="inlineStr">
        <is>
          <t>Louis Roederer Cristal brut</t>
        </is>
      </c>
      <c r="B61" s="389" t="n">
        <v>2383.5</v>
      </c>
      <c r="C61" s="99" t="n">
        <v>0.75</v>
      </c>
      <c r="D61" s="66" t="n"/>
      <c r="E61" s="51">
        <f>B61*D61</f>
        <v/>
      </c>
      <c r="F61" s="17" t="n"/>
      <c r="G61" s="17" t="n"/>
      <c r="H61" s="17" t="n"/>
      <c r="I61" s="17" t="n"/>
      <c r="J61" s="17" t="n"/>
      <c r="K61" s="6" t="n"/>
      <c r="L61" s="10" t="n"/>
      <c r="M61" s="10" t="n"/>
      <c r="N61" s="10" t="n"/>
    </row>
    <row r="62">
      <c r="A62" s="113" t="inlineStr">
        <is>
          <t>Le Black Creation Brut, Lanson</t>
        </is>
      </c>
      <c r="B62" s="389" t="n">
        <v>2420.5</v>
      </c>
      <c r="C62" s="99" t="n">
        <v>0.75</v>
      </c>
      <c r="D62" s="66" t="n"/>
      <c r="E62" s="51">
        <f>B62*D62</f>
        <v/>
      </c>
      <c r="F62" s="17" t="n"/>
      <c r="G62" s="17" t="n"/>
      <c r="H62" s="17" t="n"/>
      <c r="I62" s="17" t="n"/>
      <c r="J62" s="17" t="n"/>
      <c r="K62" s="6" t="n"/>
      <c r="L62" s="10" t="n"/>
      <c r="M62" s="10" t="n"/>
      <c r="N62" s="10" t="n"/>
    </row>
    <row r="63">
      <c r="A63" s="113" t="inlineStr">
        <is>
          <t>б/a Hans Baer Riesling No Alcohol</t>
        </is>
      </c>
      <c r="B63" s="389" t="n">
        <v>2457.5</v>
      </c>
      <c r="C63" s="99" t="n">
        <v>0.75</v>
      </c>
      <c r="D63" s="66" t="n"/>
      <c r="E63" s="51">
        <f>B63*D63</f>
        <v/>
      </c>
      <c r="F63" s="17" t="n"/>
      <c r="G63" s="17" t="n"/>
      <c r="H63" s="17" t="n"/>
      <c r="I63" s="17" t="n"/>
      <c r="J63" s="17" t="n"/>
      <c r="K63" s="6" t="n"/>
      <c r="L63" s="10" t="n"/>
      <c r="M63" s="10" t="n"/>
      <c r="N63" s="10" t="n"/>
    </row>
    <row r="64">
      <c r="A64" s="113" t="inlineStr">
        <is>
          <t>Misty Cliff Sauvignon Blanc, Lake Road</t>
        </is>
      </c>
      <c r="B64" s="389" t="n">
        <v>2494.5</v>
      </c>
      <c r="C64" s="99" t="n">
        <v>0.75</v>
      </c>
      <c r="D64" s="66" t="n"/>
      <c r="E64" s="51">
        <f>B64*D64</f>
        <v/>
      </c>
      <c r="F64" s="17" t="n"/>
      <c r="G64" s="17" t="n"/>
      <c r="H64" s="17" t="n"/>
      <c r="I64" s="17" t="n"/>
      <c r="J64" s="17" t="n"/>
      <c r="K64" s="6" t="n"/>
      <c r="L64" s="10" t="n"/>
      <c r="M64" s="10" t="n"/>
      <c r="N64" s="10" t="n"/>
    </row>
    <row r="65">
      <c r="A65" s="561" t="inlineStr">
        <is>
          <t>Сумма</t>
        </is>
      </c>
      <c r="B65" s="557" t="n"/>
      <c r="C65" s="557" t="n"/>
      <c r="D65" s="558" t="n"/>
      <c r="E65" s="120">
        <f>SUM(E41:E64)</f>
        <v/>
      </c>
      <c r="F65" s="17" t="n"/>
      <c r="G65" s="17" t="n"/>
      <c r="H65" s="17" t="n"/>
      <c r="I65" s="17" t="n"/>
      <c r="J65" s="17" t="n"/>
      <c r="K65" s="6" t="n"/>
      <c r="L65" s="10" t="n"/>
      <c r="M65" s="10" t="n"/>
      <c r="N65" s="10" t="n"/>
    </row>
    <row r="66">
      <c r="A66" s="562" t="inlineStr">
        <is>
          <t>АЛЬТАИР</t>
        </is>
      </c>
      <c r="B66" s="557" t="n"/>
      <c r="C66" s="557" t="n"/>
      <c r="D66" s="557" t="n"/>
      <c r="E66" s="558" t="n"/>
      <c r="F66" s="17" t="n"/>
      <c r="G66" s="17" t="n"/>
      <c r="H66" s="17" t="n"/>
      <c r="I66" s="17" t="n"/>
      <c r="J66" s="17" t="n"/>
      <c r="K66" s="6" t="n"/>
      <c r="L66" s="10" t="n"/>
      <c r="M66" s="10" t="n"/>
      <c r="N66" s="10" t="n"/>
    </row>
    <row r="67">
      <c r="A67" s="83" t="inlineStr">
        <is>
          <t>Контакт +7 (000) 000 - 00 - 00 / время заказа до 16:00</t>
        </is>
      </c>
      <c r="B67" s="557" t="n"/>
      <c r="C67" s="557" t="n"/>
      <c r="D67" s="557" t="n"/>
      <c r="E67" s="558" t="n"/>
      <c r="F67" s="17" t="n"/>
      <c r="G67" s="17" t="n"/>
      <c r="H67" s="17" t="n"/>
      <c r="I67" s="17" t="n"/>
      <c r="J67" s="17" t="n"/>
      <c r="K67" s="6" t="n"/>
      <c r="L67" s="10" t="n"/>
      <c r="M67" s="10" t="n"/>
      <c r="N67" s="10" t="n"/>
    </row>
    <row r="68">
      <c r="A68" s="83" t="inlineStr">
        <is>
          <t>Название</t>
        </is>
      </c>
      <c r="B68" s="35" t="inlineStr">
        <is>
          <t>Цена</t>
        </is>
      </c>
      <c r="C68" s="35" t="inlineStr">
        <is>
          <t>Мера</t>
        </is>
      </c>
      <c r="D68" s="35" t="inlineStr">
        <is>
          <t>Заказ</t>
        </is>
      </c>
      <c r="E68" s="35" t="inlineStr">
        <is>
          <t>Сумма</t>
        </is>
      </c>
      <c r="F68" s="17" t="n"/>
      <c r="G68" s="17" t="n"/>
      <c r="H68" s="17" t="n"/>
      <c r="I68" s="17" t="n"/>
      <c r="J68" s="17" t="n"/>
      <c r="K68" s="6" t="n"/>
      <c r="L68" s="10" t="n"/>
      <c r="M68" s="10" t="n"/>
      <c r="N68" s="10" t="n"/>
    </row>
    <row r="69">
      <c r="A69" s="97" t="inlineStr">
        <is>
          <t>MARTELL VS</t>
        </is>
      </c>
      <c r="B69" s="389" t="n">
        <v>2679.5</v>
      </c>
      <c r="C69" s="99" t="n">
        <v>1</v>
      </c>
      <c r="D69" s="66" t="n"/>
      <c r="E69" s="51">
        <f>B69*D69</f>
        <v/>
      </c>
      <c r="F69" s="17" t="n"/>
      <c r="G69" s="17" t="n"/>
      <c r="H69" s="17" t="n"/>
      <c r="I69" s="17" t="n"/>
      <c r="J69" s="17" t="n"/>
      <c r="K69" s="59" t="n"/>
      <c r="L69" s="10" t="n"/>
      <c r="M69" s="10" t="n"/>
      <c r="N69" s="10" t="n"/>
    </row>
    <row r="70">
      <c r="A70" s="97" t="inlineStr">
        <is>
          <t>MARTELL VSOP</t>
        </is>
      </c>
      <c r="B70" s="389" t="n"/>
      <c r="C70" s="99" t="n">
        <v>1</v>
      </c>
      <c r="D70" s="66" t="n"/>
      <c r="E70" s="51">
        <f>B70*D70</f>
        <v/>
      </c>
      <c r="F70" s="17" t="n"/>
      <c r="G70" s="17" t="n"/>
      <c r="H70" s="17" t="n"/>
      <c r="I70" s="17" t="n"/>
      <c r="J70" s="17" t="n"/>
      <c r="K70" s="59" t="n"/>
      <c r="L70" s="10" t="n"/>
      <c r="M70" s="10" t="n"/>
      <c r="N70" s="10" t="n"/>
    </row>
    <row r="71">
      <c r="A71" s="106" t="inlineStr">
        <is>
          <t>HAVANA CLUB 3 ANOS</t>
        </is>
      </c>
      <c r="B71" s="389" t="n">
        <v>2753.5</v>
      </c>
      <c r="C71" s="99" t="n">
        <v>1</v>
      </c>
      <c r="D71" s="66" t="n"/>
      <c r="E71" s="51">
        <f>B71*D71</f>
        <v/>
      </c>
      <c r="F71" s="17" t="n"/>
      <c r="G71" s="17" t="n"/>
      <c r="H71" s="17" t="n"/>
      <c r="I71" s="17" t="n"/>
      <c r="J71" s="17" t="n"/>
      <c r="K71" s="59" t="n"/>
      <c r="L71" s="10" t="n"/>
      <c r="M71" s="10" t="n"/>
      <c r="N71" s="10" t="n"/>
    </row>
    <row r="72">
      <c r="A72" s="106" t="inlineStr">
        <is>
          <t>HAVANA CLUB 7 ANOS</t>
        </is>
      </c>
      <c r="B72" s="389" t="n">
        <v>2790.5</v>
      </c>
      <c r="C72" s="99" t="n">
        <v>0.7</v>
      </c>
      <c r="D72" s="66" t="n"/>
      <c r="E72" s="51">
        <f>B72*D72</f>
        <v/>
      </c>
      <c r="F72" s="17" t="n"/>
      <c r="G72" s="17" t="n"/>
      <c r="H72" s="17" t="n"/>
      <c r="I72" s="17" t="n"/>
      <c r="J72" s="17" t="n"/>
      <c r="K72" s="59" t="n"/>
      <c r="L72" s="10" t="n"/>
      <c r="M72" s="10" t="n"/>
      <c r="N72" s="10" t="n"/>
    </row>
    <row r="73">
      <c r="A73" s="113" t="inlineStr">
        <is>
          <t>MAKERS MARK</t>
        </is>
      </c>
      <c r="B73" s="389" t="n">
        <v>2827.5</v>
      </c>
      <c r="C73" s="99" t="n">
        <v>1</v>
      </c>
      <c r="D73" s="66" t="n"/>
      <c r="E73" s="51">
        <f>B73*D73</f>
        <v/>
      </c>
      <c r="F73" s="17" t="n"/>
      <c r="G73" s="17" t="n"/>
      <c r="H73" s="17" t="n"/>
      <c r="I73" s="17" t="n"/>
      <c r="J73" s="17" t="n"/>
      <c r="K73" s="59" t="n"/>
      <c r="L73" s="10" t="n"/>
      <c r="M73" s="10" t="n"/>
      <c r="N73" s="10" t="n"/>
    </row>
    <row r="74">
      <c r="A74" s="113" t="inlineStr">
        <is>
          <t>JACK DANIEL'S TENNESSEE WHISKEY</t>
        </is>
      </c>
      <c r="B74" s="389" t="n">
        <v>2864.5</v>
      </c>
      <c r="C74" s="99" t="n">
        <v>1</v>
      </c>
      <c r="D74" s="66" t="n"/>
      <c r="E74" s="51">
        <f>B74*D74</f>
        <v/>
      </c>
      <c r="F74" s="17" t="n"/>
      <c r="G74" s="17" t="n"/>
      <c r="H74" s="17" t="n"/>
      <c r="I74" s="17" t="n"/>
      <c r="J74" s="17" t="n"/>
      <c r="K74" s="59" t="n"/>
      <c r="L74" s="10" t="n"/>
      <c r="M74" s="10" t="n"/>
      <c r="N74" s="10" t="n"/>
    </row>
    <row r="75">
      <c r="A75" s="182" t="inlineStr">
        <is>
          <t>SAMBUCA</t>
        </is>
      </c>
      <c r="B75" s="389" t="n">
        <v>2901.5</v>
      </c>
      <c r="C75" s="99" t="n">
        <v>1</v>
      </c>
      <c r="D75" s="66" t="n"/>
      <c r="E75" s="51">
        <f>B75*D75</f>
        <v/>
      </c>
      <c r="F75" s="17" t="n"/>
      <c r="G75" s="17" t="n"/>
      <c r="H75" s="17" t="n"/>
      <c r="I75" s="17" t="n"/>
      <c r="J75" s="17" t="n"/>
      <c r="K75" s="6" t="n"/>
      <c r="L75" s="10" t="n"/>
      <c r="M75" s="10" t="n"/>
      <c r="N75" s="10" t="n"/>
    </row>
    <row r="76">
      <c r="A76" s="182" t="inlineStr">
        <is>
          <t xml:space="preserve">JAGERMASTER </t>
        </is>
      </c>
      <c r="B76" s="389" t="n">
        <v>2938.5</v>
      </c>
      <c r="C76" s="99" t="n">
        <v>1</v>
      </c>
      <c r="D76" s="66" t="n"/>
      <c r="E76" s="51">
        <f>B76*D76</f>
        <v/>
      </c>
      <c r="F76" s="17" t="n"/>
      <c r="G76" s="17" t="n"/>
      <c r="H76" s="17" t="n"/>
      <c r="I76" s="17" t="n"/>
      <c r="J76" s="17" t="n"/>
      <c r="K76" s="6" t="n"/>
      <c r="L76" s="10" t="n"/>
      <c r="M76" s="10" t="n"/>
      <c r="N76" s="10" t="n"/>
    </row>
    <row r="77">
      <c r="A77" s="182" t="inlineStr">
        <is>
          <t>FERNET-BRANCA</t>
        </is>
      </c>
      <c r="B77" s="389" t="n">
        <v>2975.5</v>
      </c>
      <c r="C77" s="99" t="n">
        <v>0.7</v>
      </c>
      <c r="D77" s="66" t="n"/>
      <c r="E77" s="51">
        <f>B77*D77</f>
        <v/>
      </c>
      <c r="F77" s="17" t="n"/>
      <c r="G77" s="17" t="n"/>
      <c r="H77" s="17" t="n"/>
      <c r="I77" s="17" t="n"/>
      <c r="J77" s="17" t="n"/>
      <c r="K77" s="6" t="n"/>
      <c r="L77" s="10" t="n"/>
      <c r="M77" s="10" t="n"/>
      <c r="N77" s="10" t="n"/>
    </row>
    <row r="78">
      <c r="A78" s="182" t="inlineStr">
        <is>
          <t>BRANCA MENTA</t>
        </is>
      </c>
      <c r="B78" s="389" t="n">
        <v>3012.5</v>
      </c>
      <c r="C78" s="99" t="n">
        <v>0.7</v>
      </c>
      <c r="D78" s="66" t="n"/>
      <c r="E78" s="51">
        <f>B78*D78</f>
        <v/>
      </c>
      <c r="F78" s="17" t="n"/>
      <c r="G78" s="17" t="n"/>
      <c r="H78" s="17" t="n"/>
      <c r="I78" s="17" t="n"/>
      <c r="J78" s="17" t="n"/>
      <c r="K78" s="6" t="n"/>
      <c r="L78" s="10" t="n"/>
      <c r="M78" s="10" t="n"/>
      <c r="N78" s="10" t="n"/>
    </row>
    <row r="79">
      <c r="A79" s="113" t="inlineStr">
        <is>
          <t>BARBADILLO FINO</t>
        </is>
      </c>
      <c r="B79" s="389" t="n">
        <v>3049.5</v>
      </c>
      <c r="C79" s="99" t="n">
        <v>0.75</v>
      </c>
      <c r="D79" s="66" t="n"/>
      <c r="E79" s="51">
        <f>B79*D79</f>
        <v/>
      </c>
      <c r="F79" s="17" t="n"/>
      <c r="G79" s="17" t="n"/>
      <c r="H79" s="17" t="n"/>
      <c r="I79" s="17" t="n"/>
      <c r="J79" s="17" t="n"/>
      <c r="K79" s="6" t="n"/>
      <c r="L79" s="10" t="n"/>
      <c r="M79" s="10" t="n"/>
      <c r="N79" s="10" t="n"/>
    </row>
    <row r="80">
      <c r="A80" s="113" t="inlineStr">
        <is>
          <t>BARBADILLO PEDRO XIMENEZ</t>
        </is>
      </c>
      <c r="B80" s="389" t="n">
        <v>3086.5</v>
      </c>
      <c r="C80" s="99" t="n">
        <v>0.75</v>
      </c>
      <c r="D80" s="66" t="n"/>
      <c r="E80" s="51">
        <f>B80*D80</f>
        <v/>
      </c>
      <c r="F80" s="17" t="n"/>
      <c r="G80" s="17" t="n"/>
      <c r="H80" s="17" t="n"/>
      <c r="I80" s="17" t="n"/>
      <c r="J80" s="17" t="n"/>
      <c r="K80" s="6" t="n"/>
      <c r="L80" s="10" t="n"/>
      <c r="M80" s="10" t="n"/>
      <c r="N80" s="10" t="n"/>
    </row>
    <row r="81">
      <c r="A81" s="406" t="inlineStr">
        <is>
          <t>Беркшир Ревень-Малина</t>
        </is>
      </c>
      <c r="B81" s="328" t="n">
        <v>3123.5</v>
      </c>
      <c r="C81" s="328" t="n">
        <v>0.5</v>
      </c>
      <c r="D81" s="407" t="n"/>
      <c r="E81" s="51">
        <f>B81*D81</f>
        <v/>
      </c>
      <c r="F81" s="17" t="n"/>
      <c r="G81" s="17" t="n"/>
      <c r="H81" s="17" t="n"/>
      <c r="I81" s="17" t="n"/>
      <c r="J81" s="17" t="n"/>
      <c r="K81" s="6" t="n"/>
      <c r="L81" s="10" t="n"/>
      <c r="M81" s="10" t="n"/>
      <c r="N81" s="10" t="n"/>
    </row>
    <row r="82">
      <c r="A82" s="406" t="inlineStr">
        <is>
          <t>Беркшир Тёрн</t>
        </is>
      </c>
      <c r="B82" s="328" t="n">
        <v>3160.5</v>
      </c>
      <c r="C82" s="328" t="n">
        <v>0.5</v>
      </c>
      <c r="D82" s="407" t="n"/>
      <c r="E82" s="51">
        <f>B82*D82</f>
        <v/>
      </c>
      <c r="F82" s="17" t="n"/>
      <c r="G82" s="17" t="n"/>
      <c r="H82" s="17" t="n"/>
      <c r="I82" s="17" t="n"/>
      <c r="J82" s="17" t="n"/>
      <c r="K82" s="6" t="n"/>
      <c r="L82" s="10" t="n"/>
      <c r="M82" s="10" t="n"/>
      <c r="N82" s="10" t="n"/>
    </row>
    <row r="83">
      <c r="A83" s="406" t="inlineStr">
        <is>
          <t>Беркшир Сухой</t>
        </is>
      </c>
      <c r="B83" s="328" t="n">
        <v>3197.5</v>
      </c>
      <c r="C83" s="328" t="n">
        <v>0.5</v>
      </c>
      <c r="D83" s="407" t="n"/>
      <c r="E83" s="51">
        <f>B83*D83</f>
        <v/>
      </c>
      <c r="F83" s="17" t="n"/>
      <c r="G83" s="17" t="n"/>
      <c r="H83" s="17" t="n"/>
      <c r="I83" s="17" t="n"/>
      <c r="J83" s="17" t="n"/>
      <c r="K83" s="6" t="n"/>
      <c r="L83" s="10" t="n"/>
      <c r="M83" s="10" t="n"/>
      <c r="N83" s="10" t="n"/>
    </row>
    <row r="84">
      <c r="A84" s="406" t="inlineStr">
        <is>
          <t>Муншайн бурбон</t>
        </is>
      </c>
      <c r="B84" s="328" t="n">
        <v>3234.5</v>
      </c>
      <c r="C84" s="328" t="n">
        <v>0.7</v>
      </c>
      <c r="D84" s="407" t="n"/>
      <c r="E84" s="51">
        <f>B84*D84</f>
        <v/>
      </c>
      <c r="F84" s="17" t="n"/>
      <c r="G84" s="17" t="n"/>
      <c r="H84" s="17" t="n"/>
      <c r="I84" s="17" t="n"/>
      <c r="J84" s="17" t="n"/>
      <c r="K84" s="6" t="n"/>
      <c r="L84" s="10" t="n"/>
      <c r="M84" s="10" t="n"/>
      <c r="N84" s="10" t="n"/>
    </row>
    <row r="85">
      <c r="A85" s="563" t="inlineStr">
        <is>
          <t>Сумма</t>
        </is>
      </c>
      <c r="B85" s="557" t="n"/>
      <c r="C85" s="557" t="n"/>
      <c r="D85" s="558" t="n"/>
      <c r="E85" s="160">
        <f>SUM(E69:E84)</f>
        <v/>
      </c>
      <c r="F85" s="17" t="n"/>
      <c r="G85" s="17" t="n"/>
      <c r="H85" s="17" t="n"/>
      <c r="I85" s="17" t="n"/>
      <c r="J85" s="17" t="n"/>
      <c r="K85" s="6" t="n"/>
      <c r="L85" s="10" t="n"/>
      <c r="M85" s="10" t="n"/>
      <c r="N85" s="10" t="n"/>
    </row>
    <row r="86">
      <c r="A86" s="562" t="inlineStr">
        <is>
          <t>ВЕЛЬД 21</t>
        </is>
      </c>
      <c r="B86" s="557" t="n"/>
      <c r="C86" s="557" t="n"/>
      <c r="D86" s="557" t="n"/>
      <c r="E86" s="558" t="n"/>
      <c r="F86" s="17" t="n"/>
      <c r="G86" s="17" t="n"/>
      <c r="H86" s="17" t="n"/>
      <c r="I86" s="17" t="n"/>
      <c r="J86" s="17" t="n"/>
      <c r="K86" s="6" t="n"/>
      <c r="L86" s="10" t="n"/>
      <c r="M86" s="10" t="n"/>
      <c r="N86" s="10" t="n"/>
    </row>
    <row r="87">
      <c r="A87" s="83" t="inlineStr">
        <is>
          <t>Контакт +7 (000) 000 - 00 - 00 / время заказа до 16:00</t>
        </is>
      </c>
      <c r="B87" s="557" t="n"/>
      <c r="C87" s="557" t="n"/>
      <c r="D87" s="557" t="n"/>
      <c r="E87" s="558" t="n"/>
      <c r="F87" s="17" t="n"/>
      <c r="G87" s="17" t="n"/>
      <c r="H87" s="17" t="n"/>
      <c r="I87" s="17" t="n"/>
      <c r="J87" s="17" t="n"/>
      <c r="K87" s="6" t="n"/>
      <c r="L87" s="10" t="n"/>
      <c r="M87" s="10" t="n"/>
      <c r="N87" s="10" t="n"/>
    </row>
    <row r="88">
      <c r="A88" s="83" t="inlineStr">
        <is>
          <t>Название</t>
        </is>
      </c>
      <c r="B88" s="35" t="inlineStr">
        <is>
          <t>Цена</t>
        </is>
      </c>
      <c r="C88" s="35" t="inlineStr">
        <is>
          <t>Мера</t>
        </is>
      </c>
      <c r="D88" s="35" t="inlineStr">
        <is>
          <t>Заказ</t>
        </is>
      </c>
      <c r="E88" s="35" t="inlineStr">
        <is>
          <t>Сумма</t>
        </is>
      </c>
      <c r="F88" s="17" t="n"/>
      <c r="G88" s="17" t="n"/>
      <c r="H88" s="17" t="n"/>
      <c r="I88" s="17" t="n"/>
      <c r="J88" s="17" t="n"/>
      <c r="K88" s="6" t="n"/>
      <c r="L88" s="10" t="n"/>
      <c r="M88" s="10" t="n"/>
      <c r="N88" s="10" t="n"/>
    </row>
    <row r="89">
      <c r="A89" s="406" t="inlineStr">
        <is>
          <t>Glenfarclas 10</t>
        </is>
      </c>
      <c r="B89" s="328" t="n">
        <v>3419.5</v>
      </c>
      <c r="C89" s="328" t="n">
        <v>0.7</v>
      </c>
      <c r="D89" s="407" t="n"/>
      <c r="E89" s="168">
        <f>B89*D93</f>
        <v/>
      </c>
      <c r="F89" s="17" t="n"/>
      <c r="G89" s="17" t="n"/>
      <c r="H89" s="17" t="n"/>
      <c r="I89" s="17" t="n"/>
      <c r="J89" s="17" t="n"/>
      <c r="K89" s="6" t="n"/>
      <c r="L89" s="10" t="n"/>
      <c r="M89" s="10" t="n"/>
      <c r="N89" s="10" t="n"/>
    </row>
    <row r="90">
      <c r="A90" s="406" t="inlineStr">
        <is>
          <t>Glenfarclas 12</t>
        </is>
      </c>
      <c r="B90" s="328" t="n">
        <v>3456.5</v>
      </c>
      <c r="C90" s="328" t="n">
        <v>0.7</v>
      </c>
      <c r="D90" s="407" t="n"/>
      <c r="E90" s="168">
        <f>B89*D90</f>
        <v/>
      </c>
      <c r="F90" s="17" t="n"/>
      <c r="G90" s="17" t="n"/>
      <c r="H90" s="17" t="n"/>
      <c r="I90" s="17" t="n"/>
      <c r="J90" s="17" t="n"/>
      <c r="K90" s="6" t="n"/>
      <c r="L90" s="10" t="n"/>
      <c r="M90" s="10" t="n"/>
      <c r="N90" s="10" t="n"/>
    </row>
    <row r="91">
      <c r="A91" s="406" t="inlineStr">
        <is>
          <t>Glenfarclas 15</t>
        </is>
      </c>
      <c r="B91" s="328" t="inlineStr">
        <is>
          <t>9 089,75</t>
        </is>
      </c>
      <c r="C91" s="328" t="n">
        <v>0.7</v>
      </c>
      <c r="D91" s="407" t="n"/>
      <c r="E91" s="168">
        <f>B89*D91</f>
        <v/>
      </c>
      <c r="F91" s="17" t="n"/>
      <c r="G91" s="17" t="n"/>
      <c r="H91" s="17" t="n"/>
      <c r="I91" s="17" t="n"/>
      <c r="J91" s="17" t="n"/>
      <c r="K91" s="6" t="n"/>
      <c r="L91" s="10" t="n"/>
      <c r="M91" s="10" t="n"/>
      <c r="N91" s="10" t="n"/>
    </row>
    <row r="92">
      <c r="A92" s="406" t="inlineStr">
        <is>
          <t>Kilchoman Machir Bay</t>
        </is>
      </c>
      <c r="B92" s="328" t="n">
        <v>3530.5</v>
      </c>
      <c r="C92" s="328" t="n">
        <v>0.7</v>
      </c>
      <c r="D92" s="407" t="n"/>
      <c r="E92" s="168">
        <f>B89*D92</f>
        <v/>
      </c>
      <c r="F92" s="17" t="n"/>
      <c r="G92" s="17" t="n"/>
      <c r="H92" s="17" t="n"/>
      <c r="I92" s="17" t="n"/>
      <c r="J92" s="17" t="n"/>
      <c r="K92" s="6" t="n"/>
      <c r="L92" s="10" t="n"/>
      <c r="M92" s="10" t="n"/>
      <c r="N92" s="10" t="n"/>
    </row>
    <row r="93">
      <c r="A93" s="563" t="inlineStr">
        <is>
          <t>Сумма</t>
        </is>
      </c>
      <c r="B93" s="557" t="n"/>
      <c r="C93" s="557" t="n"/>
      <c r="D93" s="558" t="n"/>
      <c r="E93" s="160">
        <f>SUM(E89:E92)</f>
        <v/>
      </c>
      <c r="F93" s="17" t="n"/>
      <c r="G93" s="17" t="n"/>
      <c r="H93" s="17" t="n"/>
      <c r="I93" s="17" t="n"/>
      <c r="J93" s="17" t="n"/>
      <c r="K93" s="6" t="n"/>
      <c r="L93" s="10" t="n"/>
      <c r="M93" s="10" t="n"/>
      <c r="N93" s="10" t="n"/>
    </row>
    <row r="94">
      <c r="A94" s="564" t="inlineStr">
        <is>
          <t>Регион 50</t>
        </is>
      </c>
      <c r="B94" s="557" t="n"/>
      <c r="C94" s="557" t="n"/>
      <c r="D94" s="557" t="n"/>
      <c r="E94" s="558" t="n"/>
      <c r="F94" s="17" t="n"/>
      <c r="G94" s="17" t="n"/>
      <c r="H94" s="17" t="n"/>
      <c r="I94" s="17" t="n"/>
      <c r="J94" s="17" t="n"/>
      <c r="K94" s="6" t="n"/>
      <c r="L94" s="10" t="n"/>
      <c r="M94" s="10" t="n"/>
      <c r="N94" s="10" t="n"/>
    </row>
    <row r="95">
      <c r="A95" s="35" t="inlineStr">
        <is>
          <t>Контакт +7 (000) 000 - 00 - 00 / время заказа до 16:00</t>
        </is>
      </c>
      <c r="B95" s="557" t="n"/>
      <c r="C95" s="557" t="n"/>
      <c r="D95" s="557" t="n"/>
      <c r="E95" s="558" t="n"/>
      <c r="F95" s="17" t="n"/>
      <c r="G95" s="17" t="n"/>
      <c r="H95" s="17" t="n"/>
      <c r="I95" s="17" t="n"/>
      <c r="J95" s="17" t="n"/>
      <c r="K95" s="6" t="n"/>
      <c r="L95" s="10" t="n"/>
      <c r="M95" s="10" t="n"/>
      <c r="N95" s="10" t="n"/>
    </row>
    <row r="96">
      <c r="A96" s="35" t="inlineStr">
        <is>
          <t>Название</t>
        </is>
      </c>
      <c r="B96" s="35" t="inlineStr">
        <is>
          <t>Цена</t>
        </is>
      </c>
      <c r="C96" s="35" t="inlineStr">
        <is>
          <t>Мера</t>
        </is>
      </c>
      <c r="D96" s="35" t="inlineStr">
        <is>
          <t>Заказ</t>
        </is>
      </c>
      <c r="E96" s="35" t="inlineStr">
        <is>
          <t>Сумма</t>
        </is>
      </c>
      <c r="F96" s="17" t="n"/>
      <c r="G96" s="17" t="n"/>
      <c r="H96" s="17" t="n"/>
      <c r="I96" s="17" t="n"/>
      <c r="J96" s="17" t="n"/>
      <c r="K96" s="6" t="n"/>
      <c r="L96" s="10" t="n"/>
      <c r="M96" s="10" t="n"/>
      <c r="N96" s="10" t="n"/>
    </row>
    <row r="97">
      <c r="A97" s="113" t="inlineStr">
        <is>
          <t xml:space="preserve">THE MACALLAN TRIPLE CASK 12 Y.O </t>
        </is>
      </c>
      <c r="B97" s="389" t="n">
        <v>3715.5</v>
      </c>
      <c r="C97" s="99" t="n">
        <v>0.7</v>
      </c>
      <c r="D97" s="66" t="n"/>
      <c r="E97" s="51">
        <f>B97*D97</f>
        <v/>
      </c>
      <c r="F97" s="17" t="n"/>
      <c r="G97" s="17" t="n"/>
      <c r="H97" s="17" t="n"/>
      <c r="I97" s="17" t="n"/>
      <c r="J97" s="17" t="n"/>
      <c r="K97" s="6" t="n"/>
      <c r="L97" s="10" t="n"/>
      <c r="M97" s="10" t="n"/>
      <c r="N97" s="10" t="n"/>
    </row>
    <row r="98">
      <c r="A98" s="113" t="inlineStr">
        <is>
          <t xml:space="preserve">THE MACALLAN TRIPLE CASK 15 Y.O </t>
        </is>
      </c>
      <c r="B98" s="389" t="n">
        <v>3752.5</v>
      </c>
      <c r="C98" s="99" t="n">
        <v>0.7</v>
      </c>
      <c r="D98" s="66" t="n"/>
      <c r="E98" s="51">
        <f>B98*D98</f>
        <v/>
      </c>
      <c r="F98" s="17" t="n"/>
      <c r="G98" s="17" t="n"/>
      <c r="H98" s="17" t="n"/>
      <c r="I98" s="17" t="n"/>
      <c r="J98" s="17" t="n"/>
      <c r="K98" s="6" t="n"/>
      <c r="L98" s="10" t="n"/>
      <c r="M98" s="10" t="n"/>
      <c r="N98" s="10" t="n"/>
    </row>
    <row r="99">
      <c r="A99" s="113" t="inlineStr">
        <is>
          <t xml:space="preserve">THE MACALLAN TRIPLE CASK 18 Y.O </t>
        </is>
      </c>
      <c r="B99" s="389" t="n">
        <v>3789.5</v>
      </c>
      <c r="C99" s="99" t="n">
        <v>0.7</v>
      </c>
      <c r="D99" s="66" t="n"/>
      <c r="E99" s="51">
        <f>B99*D99</f>
        <v/>
      </c>
      <c r="F99" s="17" t="n"/>
      <c r="G99" s="17" t="n"/>
      <c r="H99" s="17" t="n"/>
      <c r="I99" s="17" t="n"/>
      <c r="J99" s="17" t="n"/>
      <c r="K99" s="6" t="n"/>
      <c r="L99" s="10" t="n"/>
      <c r="M99" s="10" t="n"/>
      <c r="N99" s="10" t="n"/>
    </row>
    <row r="100">
      <c r="A100" s="97" t="inlineStr">
        <is>
          <t>CHIVAS REGAL 12</t>
        </is>
      </c>
      <c r="B100" s="389" t="n">
        <v>3826.5</v>
      </c>
      <c r="C100" s="99" t="n">
        <v>1</v>
      </c>
      <c r="D100" s="66" t="n"/>
      <c r="E100" s="51">
        <f>B100*D100</f>
        <v/>
      </c>
      <c r="F100" s="17" t="n"/>
      <c r="G100" s="17" t="n"/>
      <c r="H100" s="17" t="n"/>
      <c r="I100" s="17" t="n"/>
      <c r="J100" s="17" t="n"/>
      <c r="K100" s="6" t="n"/>
      <c r="L100" s="10" t="n"/>
      <c r="M100" s="10" t="n"/>
      <c r="N100" s="10" t="n"/>
    </row>
    <row r="101">
      <c r="A101" s="97" t="inlineStr">
        <is>
          <t>CHIVAS REGAL 15</t>
        </is>
      </c>
      <c r="B101" s="389" t="n">
        <v>3863.5</v>
      </c>
      <c r="C101" s="99" t="n">
        <v>0.7</v>
      </c>
      <c r="D101" s="66" t="n"/>
      <c r="E101" s="51">
        <f>B101*D101</f>
        <v/>
      </c>
      <c r="F101" s="17" t="n"/>
      <c r="G101" s="17" t="n"/>
      <c r="H101" s="17" t="n"/>
      <c r="I101" s="17" t="n"/>
      <c r="J101" s="17" t="n"/>
      <c r="K101" s="6" t="n"/>
      <c r="L101" s="10" t="n"/>
      <c r="M101" s="10" t="n"/>
      <c r="N101" s="10" t="n"/>
    </row>
    <row r="102">
      <c r="A102" s="106" t="inlineStr">
        <is>
          <t>CHIVAS REGAL 18</t>
        </is>
      </c>
      <c r="B102" s="389" t="n">
        <v>3900.5</v>
      </c>
      <c r="C102" s="99" t="n">
        <v>0.7</v>
      </c>
      <c r="D102" s="66" t="n"/>
      <c r="E102" s="51">
        <f>B102*D102</f>
        <v/>
      </c>
      <c r="F102" s="17" t="n"/>
      <c r="G102" s="17" t="n"/>
      <c r="H102" s="17" t="n"/>
      <c r="I102" s="17" t="n"/>
      <c r="J102" s="17" t="n"/>
      <c r="K102" s="6" t="n"/>
      <c r="L102" s="10" t="n"/>
      <c r="M102" s="10" t="n"/>
      <c r="N102" s="10" t="n"/>
    </row>
    <row r="103">
      <c r="A103" s="182" t="inlineStr">
        <is>
          <t xml:space="preserve">BALLANTINE'S FINEST 7 </t>
        </is>
      </c>
      <c r="B103" s="389" t="n">
        <v>3937.5</v>
      </c>
      <c r="C103" s="99" t="n">
        <v>1</v>
      </c>
      <c r="D103" s="66" t="n"/>
      <c r="E103" s="51">
        <f>B103*D103</f>
        <v/>
      </c>
      <c r="F103" s="17" t="n"/>
      <c r="G103" s="17" t="n"/>
      <c r="H103" s="17" t="n"/>
      <c r="I103" s="17" t="n"/>
      <c r="J103" s="17" t="n"/>
      <c r="K103" s="6" t="n"/>
      <c r="L103" s="10" t="n"/>
      <c r="M103" s="10" t="n"/>
      <c r="N103" s="10" t="n"/>
    </row>
    <row r="104">
      <c r="A104" s="106" t="inlineStr">
        <is>
          <t>JAMESON</t>
        </is>
      </c>
      <c r="B104" s="389" t="n">
        <v>3974.5</v>
      </c>
      <c r="C104" s="99" t="n">
        <v>1</v>
      </c>
      <c r="D104" s="66" t="n"/>
      <c r="E104" s="51">
        <f>B104*D104</f>
        <v/>
      </c>
      <c r="F104" s="17" t="n"/>
      <c r="G104" s="17" t="n"/>
      <c r="H104" s="17" t="n"/>
      <c r="I104" s="17" t="n"/>
      <c r="J104" s="17" t="n"/>
      <c r="K104" s="6" t="n"/>
      <c r="L104" s="10" t="n"/>
      <c r="M104" s="10" t="n"/>
      <c r="N104" s="10" t="n"/>
    </row>
    <row r="105">
      <c r="A105" s="113" t="inlineStr">
        <is>
          <t>BUSHMILLS ORIGINAL</t>
        </is>
      </c>
      <c r="B105" s="389" t="n">
        <v>4011.5</v>
      </c>
      <c r="C105" s="99" t="n">
        <v>1</v>
      </c>
      <c r="D105" s="66" t="n"/>
      <c r="E105" s="51">
        <f>B105*D105</f>
        <v/>
      </c>
      <c r="F105" s="17" t="n"/>
      <c r="G105" s="17" t="n"/>
      <c r="H105" s="17" t="n"/>
      <c r="I105" s="17" t="n"/>
      <c r="J105" s="17" t="n"/>
      <c r="K105" s="6" t="n"/>
      <c r="L105" s="10" t="n"/>
      <c r="M105" s="10" t="n"/>
      <c r="N105" s="10" t="n"/>
    </row>
    <row r="106">
      <c r="A106" s="113" t="inlineStr">
        <is>
          <t>JIM BEAM WHITE</t>
        </is>
      </c>
      <c r="B106" s="389" t="n">
        <v>4048.5</v>
      </c>
      <c r="C106" s="99" t="n">
        <v>1</v>
      </c>
      <c r="D106" s="66" t="n"/>
      <c r="E106" s="51">
        <f>B106*D106</f>
        <v/>
      </c>
      <c r="F106" s="17" t="n"/>
      <c r="G106" s="17" t="n"/>
      <c r="H106" s="17" t="n"/>
      <c r="I106" s="17" t="n"/>
      <c r="J106" s="17" t="n"/>
      <c r="K106" s="6" t="n"/>
      <c r="L106" s="10" t="n"/>
      <c r="M106" s="10" t="n"/>
      <c r="N106" s="10" t="n"/>
    </row>
    <row r="107">
      <c r="A107" s="113" t="inlineStr">
        <is>
          <t>JIM BEAM DOUBLE OAK</t>
        </is>
      </c>
      <c r="B107" s="389" t="n">
        <v>4085.5</v>
      </c>
      <c r="C107" s="99" t="n">
        <v>0.7</v>
      </c>
      <c r="D107" s="66" t="n"/>
      <c r="E107" s="51">
        <f>B107*D107</f>
        <v/>
      </c>
      <c r="F107" s="17" t="n"/>
      <c r="G107" s="17" t="n"/>
      <c r="H107" s="17" t="n"/>
      <c r="I107" s="17" t="n"/>
      <c r="J107" s="17" t="n"/>
      <c r="K107" s="6" t="n"/>
      <c r="L107" s="10" t="n"/>
      <c r="M107" s="10" t="n"/>
      <c r="N107" s="10" t="n"/>
    </row>
    <row r="108">
      <c r="A108" s="113" t="inlineStr">
        <is>
          <t>CAMPARI</t>
        </is>
      </c>
      <c r="B108" s="389" t="n">
        <v>4122.5</v>
      </c>
      <c r="C108" s="99" t="n">
        <v>1</v>
      </c>
      <c r="D108" s="66" t="n"/>
      <c r="E108" s="51">
        <f>B108*D108</f>
        <v/>
      </c>
      <c r="F108" s="17" t="n"/>
      <c r="G108" s="17" t="n"/>
      <c r="H108" s="17" t="n"/>
      <c r="I108" s="17" t="n"/>
      <c r="J108" s="17" t="n"/>
      <c r="K108" s="6" t="n"/>
      <c r="L108" s="10" t="n"/>
      <c r="M108" s="10" t="n"/>
      <c r="N108" s="10" t="n"/>
    </row>
    <row r="109">
      <c r="A109" s="113" t="inlineStr">
        <is>
          <t>APEROL</t>
        </is>
      </c>
      <c r="B109" s="389" t="n">
        <v>4159.5</v>
      </c>
      <c r="C109" s="99" t="n">
        <v>1</v>
      </c>
      <c r="D109" s="66" t="n"/>
      <c r="E109" s="51">
        <f>B109*D109</f>
        <v/>
      </c>
      <c r="F109" s="17" t="n"/>
      <c r="G109" s="17" t="n"/>
      <c r="H109" s="17" t="n"/>
      <c r="I109" s="17" t="n"/>
      <c r="J109" s="17" t="n"/>
      <c r="K109" s="6" t="n"/>
      <c r="L109" s="10" t="n"/>
      <c r="M109" s="10" t="n"/>
      <c r="N109" s="10" t="n"/>
    </row>
    <row r="110">
      <c r="A110" s="426" t="inlineStr">
        <is>
          <t xml:space="preserve">Martini Bianco </t>
        </is>
      </c>
      <c r="B110" s="257" t="n">
        <v>4196.5</v>
      </c>
      <c r="C110" s="328" t="inlineStr">
        <is>
          <t>1 л</t>
        </is>
      </c>
      <c r="D110" s="407" t="n"/>
      <c r="E110" s="51">
        <f>B110*D110</f>
        <v/>
      </c>
      <c r="F110" s="17" t="n"/>
      <c r="G110" s="17" t="n"/>
      <c r="H110" s="17" t="n"/>
      <c r="I110" s="17" t="n"/>
      <c r="J110" s="17" t="n"/>
      <c r="K110" s="6" t="n"/>
      <c r="L110" s="10" t="n"/>
      <c r="M110" s="10" t="n"/>
      <c r="N110" s="10" t="n"/>
    </row>
    <row r="111">
      <c r="A111" s="426" t="inlineStr">
        <is>
          <t xml:space="preserve">Martini Extra Dry </t>
        </is>
      </c>
      <c r="B111" s="257" t="n">
        <v>4233.5</v>
      </c>
      <c r="C111" s="328" t="inlineStr">
        <is>
          <t>1 л</t>
        </is>
      </c>
      <c r="D111" s="407" t="n"/>
      <c r="E111" s="51">
        <f>B111*D111</f>
        <v/>
      </c>
      <c r="F111" s="17" t="n"/>
      <c r="G111" s="17" t="n"/>
      <c r="H111" s="17" t="n"/>
      <c r="I111" s="17" t="n"/>
      <c r="J111" s="17" t="n"/>
      <c r="K111" s="6" t="n"/>
      <c r="L111" s="10" t="n"/>
      <c r="M111" s="10" t="n"/>
      <c r="N111" s="10" t="n"/>
    </row>
    <row r="112">
      <c r="A112" s="426" t="inlineStr">
        <is>
          <t>Martini Rosso</t>
        </is>
      </c>
      <c r="B112" s="257" t="n">
        <v>4270.5</v>
      </c>
      <c r="C112" s="328" t="inlineStr">
        <is>
          <t>1 л</t>
        </is>
      </c>
      <c r="D112" s="407" t="n"/>
      <c r="E112" s="51">
        <f>B112*D112</f>
        <v/>
      </c>
      <c r="F112" s="17" t="n"/>
      <c r="G112" s="17" t="n"/>
      <c r="H112" s="17" t="n"/>
      <c r="I112" s="17" t="n"/>
      <c r="J112" s="17" t="n"/>
      <c r="K112" s="6" t="n"/>
      <c r="L112" s="10" t="n"/>
      <c r="M112" s="10" t="n"/>
      <c r="N112" s="10" t="n"/>
    </row>
    <row r="113">
      <c r="A113" s="426" t="inlineStr">
        <is>
          <t xml:space="preserve">Martini Fiero </t>
        </is>
      </c>
      <c r="B113" s="257" t="n">
        <v>4307.5</v>
      </c>
      <c r="C113" s="328" t="inlineStr">
        <is>
          <t>1 л</t>
        </is>
      </c>
      <c r="D113" s="407" t="n"/>
      <c r="E113" s="51">
        <f>B113*D113</f>
        <v/>
      </c>
      <c r="F113" s="17" t="n"/>
      <c r="G113" s="17" t="n"/>
      <c r="H113" s="17" t="n"/>
      <c r="I113" s="17" t="n"/>
      <c r="J113" s="17" t="n"/>
      <c r="K113" s="6" t="n"/>
      <c r="L113" s="10" t="n"/>
      <c r="M113" s="10" t="n"/>
      <c r="N113" s="10" t="n"/>
    </row>
    <row r="114">
      <c r="A114" s="426" t="inlineStr">
        <is>
          <t xml:space="preserve">Martini Riserva Rubino </t>
        </is>
      </c>
      <c r="B114" s="257" t="n">
        <v>4344.5</v>
      </c>
      <c r="C114" s="328" t="inlineStr">
        <is>
          <t>0,75 л</t>
        </is>
      </c>
      <c r="D114" s="407" t="n"/>
      <c r="E114" s="51">
        <f>B114*D114</f>
        <v/>
      </c>
      <c r="F114" s="17" t="n"/>
      <c r="G114" s="17" t="n"/>
      <c r="H114" s="17" t="n"/>
      <c r="I114" s="17" t="n"/>
      <c r="J114" s="17" t="n"/>
      <c r="K114" s="6" t="n"/>
      <c r="L114" s="10" t="n"/>
      <c r="M114" s="10" t="n"/>
      <c r="N114" s="10" t="n"/>
    </row>
    <row r="115">
      <c r="A115" s="426" t="inlineStr">
        <is>
          <t xml:space="preserve">Martini Riserva Ambrato </t>
        </is>
      </c>
      <c r="B115" s="257" t="n">
        <v>4381.5</v>
      </c>
      <c r="C115" s="328" t="inlineStr">
        <is>
          <t>0,75 л</t>
        </is>
      </c>
      <c r="D115" s="407" t="n"/>
      <c r="E115" s="51">
        <f>B115*D115</f>
        <v/>
      </c>
      <c r="F115" s="17" t="n"/>
      <c r="G115" s="17" t="n"/>
      <c r="H115" s="17" t="n"/>
      <c r="I115" s="17" t="n"/>
      <c r="J115" s="17" t="n"/>
      <c r="K115" s="6" t="n"/>
      <c r="L115" s="10" t="n"/>
      <c r="M115" s="10" t="n"/>
      <c r="N115" s="10" t="n"/>
    </row>
    <row r="116">
      <c r="A116" s="406" t="inlineStr">
        <is>
          <t xml:space="preserve">Martini Riserva Bitter </t>
        </is>
      </c>
      <c r="B116" s="257" t="n">
        <v>4418.5</v>
      </c>
      <c r="C116" s="328" t="inlineStr">
        <is>
          <t>0,7 л</t>
        </is>
      </c>
      <c r="D116" s="407" t="n"/>
      <c r="E116" s="51">
        <f>B116*D116</f>
        <v/>
      </c>
      <c r="F116" s="17" t="n"/>
      <c r="G116" s="17" t="n"/>
      <c r="H116" s="17" t="n"/>
      <c r="I116" s="17" t="n"/>
      <c r="J116" s="17" t="n"/>
      <c r="K116" s="6" t="n"/>
      <c r="L116" s="10" t="n"/>
      <c r="M116" s="10" t="n"/>
      <c r="N116" s="10" t="n"/>
    </row>
    <row r="117">
      <c r="A117" s="426" t="inlineStr">
        <is>
          <t>Martini Prosecco</t>
        </is>
      </c>
      <c r="B117" s="257" t="n">
        <v>4455.5</v>
      </c>
      <c r="C117" s="328" t="inlineStr">
        <is>
          <t>0,75 л</t>
        </is>
      </c>
      <c r="D117" s="407" t="n"/>
      <c r="E117" s="51">
        <f>B117*D117</f>
        <v/>
      </c>
      <c r="F117" s="17" t="n"/>
      <c r="G117" s="17" t="n"/>
      <c r="H117" s="17" t="n"/>
      <c r="I117" s="17" t="n"/>
      <c r="J117" s="17" t="n"/>
      <c r="K117" s="6" t="n"/>
      <c r="L117" s="10" t="n"/>
      <c r="M117" s="10" t="n"/>
      <c r="N117" s="10" t="n"/>
    </row>
    <row r="118">
      <c r="A118" s="426" t="inlineStr">
        <is>
          <t>Martini Prosecco Rose</t>
        </is>
      </c>
      <c r="B118" s="257" t="n">
        <v>4492.5</v>
      </c>
      <c r="C118" s="328" t="inlineStr">
        <is>
          <t>0,75 л</t>
        </is>
      </c>
      <c r="D118" s="407" t="n"/>
      <c r="E118" s="51">
        <f>B118*D118</f>
        <v/>
      </c>
      <c r="F118" s="17" t="n"/>
      <c r="G118" s="17" t="n"/>
      <c r="H118" s="17" t="n"/>
      <c r="I118" s="17" t="n"/>
      <c r="J118" s="17" t="n"/>
      <c r="K118" s="6" t="n"/>
      <c r="L118" s="10" t="n"/>
      <c r="M118" s="10" t="n"/>
      <c r="N118" s="10" t="n"/>
    </row>
    <row r="119">
      <c r="A119" s="426" t="inlineStr">
        <is>
          <t>Bombay Sapphire</t>
        </is>
      </c>
      <c r="B119" s="257" t="n">
        <v>4529.5</v>
      </c>
      <c r="C119" s="328" t="inlineStr">
        <is>
          <t>0,7 л</t>
        </is>
      </c>
      <c r="D119" s="407" t="n"/>
      <c r="E119" s="51">
        <f>B119*D119</f>
        <v/>
      </c>
      <c r="F119" s="17" t="n"/>
      <c r="G119" s="17" t="n"/>
      <c r="H119" s="17" t="n"/>
      <c r="I119" s="17" t="n"/>
      <c r="J119" s="17" t="n"/>
      <c r="K119" s="10" t="n"/>
      <c r="L119" s="10" t="n"/>
      <c r="M119" s="10" t="n"/>
      <c r="N119" s="10" t="n"/>
    </row>
    <row r="120">
      <c r="A120" s="426" t="inlineStr">
        <is>
          <t>Bombay Bramble</t>
        </is>
      </c>
      <c r="B120" s="257" t="n">
        <v>4566.5</v>
      </c>
      <c r="C120" s="328" t="inlineStr">
        <is>
          <t>0,7 л</t>
        </is>
      </c>
      <c r="D120" s="407" t="n"/>
      <c r="E120" s="51">
        <f>B120*D120</f>
        <v/>
      </c>
      <c r="F120" s="17" t="n"/>
      <c r="G120" s="17" t="n"/>
      <c r="H120" s="17" t="n"/>
      <c r="I120" s="17" t="n"/>
      <c r="J120" s="17" t="n"/>
      <c r="K120" s="10" t="n"/>
      <c r="L120" s="10" t="n"/>
      <c r="M120" s="10" t="n"/>
      <c r="N120" s="10" t="n"/>
    </row>
    <row r="121">
      <c r="A121" s="426" t="inlineStr">
        <is>
          <t>Grey Goose</t>
        </is>
      </c>
      <c r="B121" s="257" t="n">
        <v>4603.5</v>
      </c>
      <c r="C121" s="257" t="inlineStr">
        <is>
          <t>1 л</t>
        </is>
      </c>
      <c r="D121" s="407" t="n"/>
      <c r="E121" s="51">
        <f>B121*D121</f>
        <v/>
      </c>
      <c r="F121" s="17" t="n"/>
      <c r="G121" s="17" t="n"/>
      <c r="H121" s="17" t="n"/>
      <c r="I121" s="17" t="n"/>
      <c r="J121" s="17" t="n"/>
      <c r="K121" s="10" t="n"/>
      <c r="L121" s="10" t="n"/>
      <c r="M121" s="10" t="n"/>
      <c r="N121" s="10" t="n"/>
    </row>
    <row r="122">
      <c r="A122" s="426" t="inlineStr">
        <is>
          <t>Dewar’s White Label</t>
        </is>
      </c>
      <c r="B122" s="257" t="n">
        <v>4640.5</v>
      </c>
      <c r="C122" s="257" t="inlineStr">
        <is>
          <t>0,7 л</t>
        </is>
      </c>
      <c r="D122" s="407" t="n"/>
      <c r="E122" s="51">
        <f>B122*D122</f>
        <v/>
      </c>
      <c r="F122" s="17" t="n"/>
      <c r="G122" s="17" t="n"/>
      <c r="H122" s="17" t="n"/>
      <c r="I122" s="17" t="n"/>
      <c r="J122" s="17" t="n"/>
      <c r="K122" s="10" t="n"/>
      <c r="L122" s="10" t="n"/>
      <c r="M122" s="10" t="n"/>
      <c r="N122" s="10" t="n"/>
    </row>
    <row r="123">
      <c r="A123" s="426" t="inlineStr">
        <is>
          <t xml:space="preserve">Dewar’s 8 </t>
        </is>
      </c>
      <c r="B123" s="257" t="n">
        <v>4677.5</v>
      </c>
      <c r="C123" s="257" t="inlineStr">
        <is>
          <t>0,7 л</t>
        </is>
      </c>
      <c r="D123" s="407" t="n"/>
      <c r="E123" s="51">
        <f>B123*D123</f>
        <v/>
      </c>
      <c r="F123" s="17" t="n"/>
      <c r="G123" s="17" t="n"/>
      <c r="H123" s="17" t="n"/>
      <c r="I123" s="17" t="n"/>
      <c r="J123" s="17" t="n"/>
      <c r="K123" s="10" t="n"/>
      <c r="L123" s="10" t="n"/>
      <c r="M123" s="10" t="n"/>
      <c r="N123" s="10" t="n"/>
    </row>
    <row r="124">
      <c r="A124" s="406" t="inlineStr">
        <is>
          <t xml:space="preserve">Dewar’s 12 </t>
        </is>
      </c>
      <c r="B124" s="257" t="n">
        <v>4714.5</v>
      </c>
      <c r="C124" s="257" t="inlineStr">
        <is>
          <t>1 л</t>
        </is>
      </c>
      <c r="D124" s="407" t="n"/>
      <c r="E124" s="51">
        <f>B124*D124</f>
        <v/>
      </c>
      <c r="F124" s="17" t="n"/>
      <c r="G124" s="17" t="n"/>
      <c r="H124" s="17" t="n"/>
      <c r="I124" s="17" t="n"/>
      <c r="J124" s="17" t="n"/>
      <c r="K124" s="10" t="n"/>
      <c r="L124" s="10" t="n"/>
      <c r="M124" s="10" t="n"/>
      <c r="N124" s="10" t="n"/>
    </row>
    <row r="125">
      <c r="A125" s="406" t="inlineStr">
        <is>
          <t xml:space="preserve">Aberfeldy 12 </t>
        </is>
      </c>
      <c r="B125" s="257" t="n">
        <v>4751.5</v>
      </c>
      <c r="C125" s="257" t="inlineStr">
        <is>
          <t>0,7 л</t>
        </is>
      </c>
      <c r="D125" s="407" t="n"/>
      <c r="E125" s="51">
        <f>B125*D125</f>
        <v/>
      </c>
      <c r="F125" s="17" t="n"/>
      <c r="G125" s="17" t="n"/>
      <c r="H125" s="17" t="n"/>
      <c r="I125" s="17" t="n"/>
      <c r="J125" s="17" t="n"/>
      <c r="K125" s="10" t="n"/>
      <c r="L125" s="10" t="n"/>
      <c r="M125" s="10" t="n"/>
      <c r="N125" s="10" t="n"/>
    </row>
    <row r="126">
      <c r="A126" s="426" t="inlineStr">
        <is>
          <t xml:space="preserve">Bosford </t>
        </is>
      </c>
      <c r="B126" s="257" t="n">
        <v>4788.5</v>
      </c>
      <c r="C126" s="257" t="inlineStr">
        <is>
          <t>0,7 л</t>
        </is>
      </c>
      <c r="D126" s="407" t="n"/>
      <c r="E126" s="51">
        <f>B126*D126</f>
        <v/>
      </c>
      <c r="F126" s="17" t="n"/>
      <c r="G126" s="17" t="n"/>
      <c r="H126" s="17" t="n"/>
      <c r="I126" s="17" t="n"/>
      <c r="J126" s="17" t="n"/>
      <c r="K126" s="10" t="n"/>
      <c r="L126" s="10" t="n"/>
      <c r="M126" s="10" t="n"/>
      <c r="N126" s="10" t="n"/>
    </row>
    <row r="127">
      <c r="A127" s="426" t="inlineStr">
        <is>
          <t>Tundra</t>
        </is>
      </c>
      <c r="B127" s="328" t="n">
        <v>4825.5</v>
      </c>
      <c r="C127" s="328" t="inlineStr">
        <is>
          <t>1 л</t>
        </is>
      </c>
      <c r="D127" s="407" t="n"/>
      <c r="E127" s="51">
        <f>B127*D127</f>
        <v/>
      </c>
      <c r="F127" s="17" t="n"/>
      <c r="G127" s="17" t="n"/>
      <c r="H127" s="17" t="n"/>
      <c r="I127" s="17" t="n"/>
      <c r="J127" s="17" t="n"/>
      <c r="K127" s="10" t="n"/>
      <c r="L127" s="10" t="n"/>
      <c r="M127" s="10" t="n"/>
      <c r="N127" s="10" t="n"/>
    </row>
    <row r="128">
      <c r="A128" s="426" t="inlineStr">
        <is>
          <t>Sarti Rosso</t>
        </is>
      </c>
      <c r="B128" s="328" t="n">
        <v>4862.5</v>
      </c>
      <c r="C128" s="328" t="n">
        <v>0.7</v>
      </c>
      <c r="D128" s="407" t="n"/>
      <c r="E128" s="51">
        <f>B128*D128</f>
        <v/>
      </c>
      <c r="F128" s="17" t="n"/>
      <c r="G128" s="17" t="n"/>
      <c r="H128" s="17" t="n"/>
      <c r="I128" s="17" t="n"/>
      <c r="J128" s="17" t="n"/>
      <c r="K128" s="10" t="n"/>
      <c r="L128" s="10" t="n"/>
      <c r="M128" s="10" t="n"/>
      <c r="N128" s="10" t="n"/>
    </row>
    <row r="129">
      <c r="A129" s="160" t="inlineStr">
        <is>
          <t>Сумма</t>
        </is>
      </c>
      <c r="B129" s="557" t="n"/>
      <c r="C129" s="557" t="n"/>
      <c r="D129" s="558" t="n"/>
      <c r="E129" s="160">
        <f>SUM(E97:E128)</f>
        <v/>
      </c>
      <c r="F129" s="17" t="n"/>
      <c r="G129" s="17" t="n"/>
      <c r="H129" s="17" t="n"/>
      <c r="I129" s="17" t="n"/>
      <c r="J129" s="17" t="n"/>
      <c r="K129" s="10" t="n"/>
      <c r="L129" s="10" t="n"/>
      <c r="M129" s="10" t="n"/>
      <c r="N129" s="10" t="n"/>
    </row>
    <row r="130">
      <c r="A130" s="559" t="inlineStr">
        <is>
          <t>Меридиан Лайн</t>
        </is>
      </c>
      <c r="B130" s="557" t="n"/>
      <c r="C130" s="557" t="n"/>
      <c r="D130" s="557" t="n"/>
      <c r="E130" s="558" t="n"/>
      <c r="F130" s="17" t="n"/>
      <c r="G130" s="17" t="n"/>
      <c r="H130" s="17" t="n"/>
      <c r="I130" s="17" t="n"/>
      <c r="J130" s="17" t="n"/>
      <c r="K130" s="10" t="n"/>
      <c r="L130" s="10" t="n"/>
      <c r="M130" s="10" t="n"/>
      <c r="N130" s="10" t="n"/>
    </row>
    <row r="131">
      <c r="A131" s="565" t="inlineStr">
        <is>
          <t>Контакт +7 (000) 000 - 00 - 00 / время заказа до 16:00</t>
        </is>
      </c>
      <c r="B131" s="557" t="n"/>
      <c r="C131" s="557" t="n"/>
      <c r="D131" s="557" t="n"/>
      <c r="E131" s="558" t="n"/>
      <c r="F131" s="17" t="n"/>
      <c r="G131" s="17" t="n"/>
      <c r="H131" s="17" t="n"/>
      <c r="I131" s="17" t="n"/>
      <c r="J131" s="17" t="n"/>
      <c r="K131" s="10" t="n"/>
      <c r="L131" s="10" t="n"/>
      <c r="M131" s="10" t="n"/>
      <c r="N131" s="10" t="n"/>
    </row>
    <row r="132">
      <c r="A132" s="83" t="inlineStr">
        <is>
          <t>Название</t>
        </is>
      </c>
      <c r="B132" s="38" t="inlineStr">
        <is>
          <t>Цена</t>
        </is>
      </c>
      <c r="C132" s="38" t="inlineStr">
        <is>
          <t>Мера</t>
        </is>
      </c>
      <c r="D132" s="35" t="inlineStr">
        <is>
          <t>Заказ</t>
        </is>
      </c>
      <c r="E132" s="38" t="inlineStr">
        <is>
          <t>Сумма</t>
        </is>
      </c>
      <c r="F132" s="17" t="n"/>
      <c r="G132" s="17" t="n"/>
      <c r="H132" s="17" t="n"/>
      <c r="I132" s="17" t="n"/>
      <c r="J132" s="17" t="n"/>
      <c r="K132" s="10" t="n"/>
      <c r="L132" s="10" t="n"/>
      <c r="M132" s="10" t="n"/>
      <c r="N132" s="10" t="n"/>
    </row>
    <row r="133">
      <c r="A133" s="106" t="inlineStr">
        <is>
          <t>SCHOFFERHOFER 0,5</t>
        </is>
      </c>
      <c r="B133" s="200" t="n">
        <v>147.5</v>
      </c>
      <c r="C133" s="200" t="n">
        <v>18</v>
      </c>
      <c r="D133" s="407" t="n"/>
      <c r="E133" s="51">
        <f>B133*D133</f>
        <v/>
      </c>
      <c r="F133" s="17" t="n"/>
      <c r="G133" s="17" t="n"/>
      <c r="H133" s="17" t="n"/>
      <c r="I133" s="17" t="n"/>
      <c r="J133" s="17" t="n"/>
      <c r="K133" s="10" t="n"/>
      <c r="L133" s="10" t="n"/>
      <c r="M133" s="10" t="n"/>
      <c r="N133" s="10" t="n"/>
    </row>
    <row r="134">
      <c r="A134" s="106" t="inlineStr">
        <is>
          <t>CLAUSTHALER NON ALCOHOLIC 0,33</t>
        </is>
      </c>
      <c r="B134" s="200" t="n">
        <v>184.5</v>
      </c>
      <c r="C134" s="200" t="n">
        <v>24</v>
      </c>
      <c r="D134" s="407" t="n"/>
      <c r="E134" s="51">
        <f>B134*D134</f>
        <v/>
      </c>
      <c r="F134" s="17" t="n"/>
      <c r="G134" s="17" t="n"/>
      <c r="H134" s="17" t="n"/>
      <c r="I134" s="17" t="n"/>
      <c r="J134" s="17" t="n"/>
      <c r="K134" s="10" t="n"/>
      <c r="L134" s="10" t="n"/>
      <c r="M134" s="10" t="n"/>
      <c r="N134" s="10" t="n"/>
    </row>
    <row r="135">
      <c r="A135" s="106" t="inlineStr">
        <is>
          <t>DRINKSOME  ( в ассортименте )</t>
        </is>
      </c>
      <c r="B135" s="99" t="n">
        <v>221.5</v>
      </c>
      <c r="C135" s="200" t="n">
        <v>6</v>
      </c>
      <c r="D135" s="407" t="n"/>
      <c r="E135" s="51">
        <f>B135*D135</f>
        <v/>
      </c>
      <c r="F135" s="17" t="n"/>
      <c r="G135" s="17" t="n"/>
      <c r="H135" s="17" t="n"/>
      <c r="I135" s="17" t="n"/>
      <c r="J135" s="17" t="n"/>
      <c r="K135" s="10" t="n"/>
      <c r="L135" s="10" t="n"/>
      <c r="M135" s="10" t="n"/>
      <c r="N135" s="10" t="n"/>
    </row>
    <row r="136">
      <c r="A136" s="113" t="inlineStr">
        <is>
          <t>Guinness</t>
        </is>
      </c>
      <c r="B136" s="99" t="n">
        <v>258.5</v>
      </c>
      <c r="C136" s="99" t="n">
        <v>0.5</v>
      </c>
      <c r="D136" s="66" t="n"/>
      <c r="E136" s="51">
        <f>B136*D136</f>
        <v/>
      </c>
      <c r="F136" s="17" t="n"/>
      <c r="G136" s="17" t="n"/>
      <c r="H136" s="17" t="n"/>
      <c r="I136" s="17" t="n"/>
      <c r="J136" s="17" t="n"/>
      <c r="K136" s="10" t="n"/>
      <c r="L136" s="10" t="n"/>
      <c r="M136" s="10" t="n"/>
      <c r="N136" s="10" t="n"/>
    </row>
    <row r="137">
      <c r="A137" s="106" t="inlineStr">
        <is>
          <t xml:space="preserve">RED BULL </t>
        </is>
      </c>
      <c r="B137" s="204" t="inlineStr">
        <is>
          <t>2256</t>
        </is>
      </c>
      <c r="C137" s="200" t="n">
        <v>24</v>
      </c>
      <c r="D137" s="407" t="n"/>
      <c r="E137" s="51">
        <f>B137*D137</f>
        <v/>
      </c>
      <c r="F137" s="17" t="n"/>
      <c r="G137" s="17" t="n"/>
      <c r="H137" s="17" t="n"/>
      <c r="I137" s="17" t="n"/>
      <c r="J137" s="17" t="n"/>
      <c r="K137" s="10" t="n"/>
      <c r="L137" s="10" t="n"/>
      <c r="M137" s="10" t="n"/>
      <c r="N137" s="10" t="n"/>
    </row>
    <row r="138">
      <c r="A138" s="106" t="inlineStr">
        <is>
          <t>RED BULL NON SUGAR</t>
        </is>
      </c>
      <c r="B138" s="204" t="inlineStr">
        <is>
          <t>2257</t>
        </is>
      </c>
      <c r="C138" s="200" t="n">
        <v>24</v>
      </c>
      <c r="D138" s="407" t="n"/>
      <c r="E138" s="51">
        <f>B138*D138</f>
        <v/>
      </c>
      <c r="F138" s="17" t="n"/>
      <c r="G138" s="17" t="n"/>
      <c r="H138" s="17" t="n"/>
      <c r="I138" s="17" t="n"/>
      <c r="J138" s="17" t="n"/>
      <c r="K138" s="10" t="n"/>
      <c r="L138" s="10" t="n"/>
      <c r="M138" s="10" t="n"/>
      <c r="N138" s="10" t="n"/>
    </row>
    <row r="139">
      <c r="A139" s="106" t="inlineStr">
        <is>
          <t xml:space="preserve">RED BULL TROPIC </t>
        </is>
      </c>
      <c r="B139" s="204" t="inlineStr">
        <is>
          <t>2258</t>
        </is>
      </c>
      <c r="C139" s="200" t="n">
        <v>24</v>
      </c>
      <c r="D139" s="407" t="n"/>
      <c r="E139" s="51">
        <f>B139*D139</f>
        <v/>
      </c>
      <c r="F139" s="17" t="n"/>
      <c r="G139" s="17" t="n"/>
      <c r="H139" s="17" t="n"/>
      <c r="I139" s="17" t="n"/>
      <c r="J139" s="17" t="n"/>
      <c r="K139" s="10" t="n"/>
      <c r="L139" s="10" t="n"/>
      <c r="M139" s="10" t="n"/>
      <c r="N139" s="10" t="n"/>
    </row>
    <row r="140">
      <c r="A140" s="160" t="inlineStr">
        <is>
          <t>Сумма</t>
        </is>
      </c>
      <c r="B140" s="557" t="n"/>
      <c r="C140" s="557" t="n"/>
      <c r="D140" s="558" t="n"/>
      <c r="E140" s="160">
        <f>SUM(E133:E139)</f>
        <v/>
      </c>
      <c r="F140" s="17" t="n"/>
      <c r="G140" s="17" t="n"/>
      <c r="H140" s="17" t="n"/>
      <c r="I140" s="17" t="n"/>
      <c r="J140" s="17" t="n"/>
      <c r="K140" s="10" t="n"/>
      <c r="L140" s="10" t="n"/>
      <c r="M140" s="10" t="n"/>
      <c r="N140" s="10" t="n"/>
    </row>
    <row r="141">
      <c r="A141" s="559" t="inlineStr">
        <is>
          <t>Меридиан Вотерс</t>
        </is>
      </c>
      <c r="B141" s="557" t="n"/>
      <c r="C141" s="557" t="n"/>
      <c r="D141" s="557" t="n"/>
      <c r="E141" s="558" t="n"/>
      <c r="F141" s="17" t="n"/>
      <c r="G141" s="17" t="n"/>
      <c r="H141" s="17" t="n"/>
      <c r="I141" s="17" t="n"/>
      <c r="J141" s="17" t="n"/>
      <c r="K141" s="10" t="n"/>
      <c r="L141" s="10" t="n"/>
      <c r="M141" s="10" t="n"/>
      <c r="N141" s="10" t="n"/>
    </row>
    <row r="142">
      <c r="A142" s="565" t="inlineStr">
        <is>
          <t>Контакт +7 (000) 000 - 00 - 00 / время заказа до 16:00</t>
        </is>
      </c>
      <c r="B142" s="557" t="n"/>
      <c r="C142" s="557" t="n"/>
      <c r="D142" s="557" t="n"/>
      <c r="E142" s="558" t="n"/>
      <c r="F142" s="17" t="n"/>
      <c r="G142" s="17" t="n"/>
      <c r="H142" s="17" t="n"/>
      <c r="I142" s="17" t="n"/>
      <c r="J142" s="17" t="n"/>
      <c r="K142" s="10" t="n"/>
      <c r="L142" s="10" t="n"/>
      <c r="M142" s="10" t="n"/>
      <c r="N142" s="10" t="n"/>
    </row>
    <row r="143">
      <c r="A143" s="83" t="inlineStr">
        <is>
          <t>Название</t>
        </is>
      </c>
      <c r="B143" s="38" t="inlineStr">
        <is>
          <t>Цена</t>
        </is>
      </c>
      <c r="C143" s="38" t="inlineStr">
        <is>
          <t>Мера</t>
        </is>
      </c>
      <c r="D143" s="35" t="inlineStr">
        <is>
          <t>Заказ</t>
        </is>
      </c>
      <c r="E143" s="38" t="inlineStr">
        <is>
          <t>Сумма</t>
        </is>
      </c>
      <c r="F143" s="17" t="n"/>
      <c r="G143" s="17" t="n"/>
      <c r="H143" s="17" t="n"/>
      <c r="I143" s="17" t="n"/>
      <c r="J143" s="17" t="n"/>
      <c r="K143" s="10" t="n"/>
      <c r="L143" s="10" t="n"/>
      <c r="M143" s="10" t="n"/>
      <c r="N143" s="10" t="n"/>
    </row>
    <row r="144">
      <c r="A144" s="106" t="inlineStr">
        <is>
          <t>Limonatti</t>
        </is>
      </c>
      <c r="B144" s="99" t="n">
        <v>554.5</v>
      </c>
      <c r="C144" s="99" t="n">
        <v>12</v>
      </c>
      <c r="D144" s="66" t="n"/>
      <c r="E144" s="51">
        <f>B144*D144</f>
        <v/>
      </c>
      <c r="F144" s="17" t="n"/>
      <c r="G144" s="17" t="n"/>
      <c r="H144" s="17" t="n"/>
      <c r="I144" s="17" t="n"/>
      <c r="J144" s="17" t="n"/>
      <c r="K144" s="10" t="n"/>
      <c r="L144" s="10" t="n"/>
      <c r="M144" s="10" t="n"/>
      <c r="N144" s="10" t="n"/>
    </row>
    <row r="145">
      <c r="A145" s="106" t="inlineStr">
        <is>
          <t>LUCKY BUDDHA 0,33</t>
        </is>
      </c>
      <c r="B145" s="99" t="n">
        <v>591.5</v>
      </c>
      <c r="C145" s="99" t="n">
        <v>24</v>
      </c>
      <c r="D145" s="66" t="n"/>
      <c r="E145" s="51">
        <f>B145*D145</f>
        <v/>
      </c>
      <c r="F145" s="17" t="n"/>
      <c r="G145" s="17" t="n"/>
      <c r="H145" s="17" t="n"/>
      <c r="I145" s="17" t="n"/>
      <c r="J145" s="17" t="n"/>
      <c r="K145" s="10" t="n"/>
      <c r="L145" s="10" t="n"/>
      <c r="M145" s="10" t="n"/>
      <c r="N145" s="10" t="n"/>
    </row>
    <row r="146">
      <c r="A146" s="106" t="inlineStr">
        <is>
          <t xml:space="preserve">PERONI </t>
        </is>
      </c>
      <c r="B146" s="200" t="n">
        <v>628.5</v>
      </c>
      <c r="C146" s="200" t="n">
        <v>24</v>
      </c>
      <c r="D146" s="407" t="n"/>
      <c r="E146" s="51">
        <f>B146*D146</f>
        <v/>
      </c>
      <c r="F146" s="17" t="n"/>
      <c r="G146" s="17" t="n"/>
      <c r="H146" s="17" t="n"/>
      <c r="I146" s="17" t="n"/>
      <c r="J146" s="17" t="n"/>
      <c r="K146" s="10" t="n"/>
      <c r="L146" s="10" t="n"/>
      <c r="M146" s="10" t="n"/>
      <c r="N146" s="10" t="n"/>
    </row>
    <row r="147">
      <c r="A147" s="97" t="inlineStr">
        <is>
          <t xml:space="preserve">AQUA PANA 250 ML </t>
        </is>
      </c>
      <c r="B147" s="99" t="n">
        <v>665.5</v>
      </c>
      <c r="C147" s="204" t="n">
        <v>24</v>
      </c>
      <c r="D147" s="407" t="n"/>
      <c r="E147" s="51">
        <f>B147*D147</f>
        <v/>
      </c>
      <c r="F147" s="17" t="n"/>
      <c r="G147" s="17" t="n"/>
      <c r="H147" s="17" t="n"/>
      <c r="I147" s="17" t="n"/>
      <c r="J147" s="17" t="n"/>
      <c r="K147" s="10" t="n"/>
      <c r="L147" s="10" t="n"/>
      <c r="M147" s="10" t="n"/>
      <c r="N147" s="10" t="n"/>
    </row>
    <row r="148">
      <c r="A148" s="97" t="inlineStr">
        <is>
          <t>AQUA PANA 750 ML</t>
        </is>
      </c>
      <c r="B148" s="99" t="n">
        <v>702.5</v>
      </c>
      <c r="C148" s="200" t="n">
        <v>15</v>
      </c>
      <c r="D148" s="407" t="n"/>
      <c r="E148" s="51">
        <f>B148*D148</f>
        <v/>
      </c>
      <c r="F148" s="17" t="n"/>
      <c r="G148" s="17" t="n"/>
      <c r="H148" s="17" t="n"/>
      <c r="I148" s="17" t="n"/>
      <c r="J148" s="17" t="n"/>
      <c r="K148" s="10" t="n"/>
      <c r="L148" s="10" t="n"/>
      <c r="M148" s="10" t="n"/>
      <c r="N148" s="10" t="n"/>
    </row>
    <row r="149">
      <c r="A149" s="97" t="inlineStr">
        <is>
          <t xml:space="preserve">SAN PELLEGRINO 250 ML </t>
        </is>
      </c>
      <c r="B149" s="99" t="n">
        <v>739.5</v>
      </c>
      <c r="C149" s="204" t="n">
        <v>24</v>
      </c>
      <c r="D149" s="407" t="n"/>
      <c r="E149" s="51">
        <f>B149*D149</f>
        <v/>
      </c>
      <c r="F149" s="17" t="n"/>
      <c r="G149" s="17" t="n"/>
      <c r="H149" s="17" t="n"/>
      <c r="I149" s="17" t="n"/>
      <c r="J149" s="17" t="n"/>
      <c r="K149" s="10" t="n"/>
      <c r="L149" s="10" t="n"/>
      <c r="M149" s="10" t="n"/>
      <c r="N149" s="10" t="n"/>
    </row>
    <row r="150">
      <c r="A150" s="97" t="inlineStr">
        <is>
          <t>SAN PELLEGRINO 750 ML</t>
        </is>
      </c>
      <c r="B150" s="99" t="n">
        <v>776.5</v>
      </c>
      <c r="C150" s="200" t="n">
        <v>15</v>
      </c>
      <c r="D150" s="407" t="n"/>
      <c r="E150" s="51">
        <f>B150*D150</f>
        <v/>
      </c>
      <c r="F150" s="17" t="n"/>
      <c r="G150" s="17" t="n"/>
      <c r="H150" s="17" t="n"/>
      <c r="I150" s="17" t="n"/>
      <c r="J150" s="17" t="n"/>
      <c r="K150" s="10" t="n"/>
      <c r="L150" s="10" t="n"/>
      <c r="M150" s="10" t="n"/>
      <c r="N150" s="10" t="n"/>
    </row>
    <row r="151">
      <c r="A151" s="106" t="inlineStr">
        <is>
          <t>LEDENEV 0,6 ПЭТ</t>
        </is>
      </c>
      <c r="B151" s="99" t="n">
        <v>813.5</v>
      </c>
      <c r="C151" s="200" t="n">
        <v>24</v>
      </c>
      <c r="D151" s="407" t="n"/>
      <c r="E151" s="51">
        <f>B151*D151</f>
        <v/>
      </c>
      <c r="G151" s="17" t="n"/>
      <c r="H151" s="17" t="n"/>
      <c r="I151" s="17" t="n"/>
      <c r="J151" s="17" t="n"/>
      <c r="K151" s="10" t="n"/>
      <c r="L151" s="10" t="n"/>
      <c r="M151" s="10" t="n"/>
      <c r="N151" s="10" t="n"/>
    </row>
    <row r="152">
      <c r="A152" s="160" t="inlineStr">
        <is>
          <t>Сумма</t>
        </is>
      </c>
      <c r="B152" s="557" t="n"/>
      <c r="C152" s="557" t="n"/>
      <c r="D152" s="558" t="n"/>
      <c r="E152" s="160">
        <f>SUM(E133:E151)</f>
        <v/>
      </c>
      <c r="F152" s="17" t="n"/>
      <c r="G152" s="17" t="n"/>
      <c r="H152" s="17" t="n"/>
      <c r="I152" s="17" t="n"/>
      <c r="J152" s="17" t="n"/>
      <c r="K152" s="10" t="n"/>
      <c r="L152" s="10" t="n"/>
      <c r="M152" s="10" t="n"/>
      <c r="N152" s="10" t="n"/>
    </row>
    <row r="153">
      <c r="A153" s="566" t="inlineStr">
        <is>
          <t xml:space="preserve">Старый Мастер </t>
        </is>
      </c>
      <c r="B153" s="557" t="n"/>
      <c r="C153" s="557" t="n"/>
      <c r="D153" s="557" t="n"/>
      <c r="E153" s="558" t="n"/>
      <c r="F153" s="17" t="n"/>
      <c r="G153" s="17" t="n"/>
      <c r="H153" s="17" t="n"/>
      <c r="I153" s="17" t="n"/>
      <c r="J153" s="17" t="n"/>
      <c r="K153" s="10" t="n"/>
      <c r="L153" s="10" t="n"/>
      <c r="M153" s="10" t="n"/>
      <c r="N153" s="10" t="n"/>
    </row>
    <row r="154">
      <c r="A154" s="35" t="inlineStr">
        <is>
          <t>приложение ON Tapp / время заказа - до 16:00</t>
        </is>
      </c>
      <c r="B154" s="557" t="n"/>
      <c r="C154" s="557" t="n"/>
      <c r="D154" s="557" t="n"/>
      <c r="E154" s="558" t="n"/>
      <c r="F154" s="17" t="n"/>
      <c r="G154" s="17" t="n"/>
      <c r="H154" s="17" t="n"/>
      <c r="I154" s="17" t="n"/>
      <c r="J154" s="17" t="n"/>
      <c r="K154" s="10" t="n"/>
      <c r="L154" s="10" t="n"/>
      <c r="M154" s="10" t="n"/>
      <c r="N154" s="10" t="n"/>
    </row>
    <row r="155">
      <c r="A155" s="35" t="inlineStr">
        <is>
          <t>Название</t>
        </is>
      </c>
      <c r="B155" s="38" t="inlineStr">
        <is>
          <t>Цена</t>
        </is>
      </c>
      <c r="C155" s="38" t="inlineStr">
        <is>
          <t>Мера</t>
        </is>
      </c>
      <c r="D155" s="38" t="inlineStr">
        <is>
          <t>Заказ</t>
        </is>
      </c>
      <c r="E155" s="35" t="inlineStr">
        <is>
          <t>Сумма</t>
        </is>
      </c>
      <c r="F155" s="17" t="n"/>
      <c r="G155" s="17" t="n"/>
      <c r="H155" s="17" t="n"/>
      <c r="I155" s="17" t="n"/>
      <c r="J155" s="17" t="n"/>
      <c r="K155" s="10" t="n"/>
      <c r="L155" s="10" t="n"/>
      <c r="M155" s="10" t="n"/>
      <c r="N155" s="10" t="n"/>
    </row>
    <row r="156">
      <c r="A156" s="113" t="inlineStr">
        <is>
          <t>INVASION (Шлиц)</t>
        </is>
      </c>
      <c r="B156" s="99" t="n">
        <v>998.5</v>
      </c>
      <c r="C156" s="99" t="n">
        <v>20</v>
      </c>
      <c r="D156" s="66" t="n"/>
      <c r="E156" s="51">
        <f>B156*D156</f>
        <v/>
      </c>
      <c r="F156" s="17" t="n"/>
      <c r="G156" s="17" t="n"/>
      <c r="H156" s="17" t="n"/>
      <c r="I156" s="17" t="n"/>
      <c r="J156" s="17" t="n"/>
      <c r="K156" s="10" t="n"/>
      <c r="L156" s="10" t="n"/>
      <c r="M156" s="10" t="n"/>
      <c r="N156" s="10" t="n"/>
    </row>
    <row r="157">
      <c r="A157" s="113" t="inlineStr">
        <is>
          <t>INVASION (Weiss)</t>
        </is>
      </c>
      <c r="B157" s="99" t="n">
        <v>1035.5</v>
      </c>
      <c r="C157" s="99" t="n">
        <v>20</v>
      </c>
      <c r="D157" s="66" t="n"/>
      <c r="E157" s="51">
        <f>B157*D157</f>
        <v/>
      </c>
      <c r="F157" s="17" t="n"/>
      <c r="G157" s="17" t="n"/>
      <c r="H157" s="17" t="n"/>
      <c r="I157" s="17" t="n"/>
      <c r="J157" s="17" t="n"/>
      <c r="K157" s="10" t="n"/>
      <c r="L157" s="10" t="n"/>
      <c r="M157" s="10" t="n"/>
      <c r="N157" s="10" t="n"/>
    </row>
    <row r="158">
      <c r="A158" s="79" t="inlineStr">
        <is>
          <t>Сумма</t>
        </is>
      </c>
      <c r="B158" s="557" t="n"/>
      <c r="C158" s="557" t="n"/>
      <c r="D158" s="558" t="n"/>
      <c r="E158" s="79">
        <f>SUM(E156:E157)</f>
        <v/>
      </c>
      <c r="F158" s="17" t="n"/>
      <c r="G158" s="17" t="n"/>
      <c r="H158" s="17" t="n"/>
      <c r="I158" s="17" t="n"/>
      <c r="J158" s="17" t="n"/>
      <c r="K158" s="10" t="n"/>
      <c r="L158" s="10" t="n"/>
      <c r="M158" s="10" t="n"/>
      <c r="N158" s="10" t="n"/>
    </row>
    <row r="159">
      <c r="A159" s="566" t="inlineStr">
        <is>
          <t>AMINARI/кофе</t>
        </is>
      </c>
      <c r="B159" s="557" t="n"/>
      <c r="C159" s="557" t="n"/>
      <c r="D159" s="557" t="n"/>
      <c r="E159" s="558" t="n"/>
      <c r="F159" s="17" t="n"/>
      <c r="G159" s="17" t="n"/>
      <c r="H159" s="17" t="n"/>
      <c r="I159" s="17" t="n"/>
      <c r="J159" s="17" t="n"/>
      <c r="K159" s="10" t="n"/>
      <c r="L159" s="10" t="n"/>
      <c r="M159" s="10" t="n"/>
      <c r="N159" s="10" t="n"/>
    </row>
    <row r="160">
      <c r="A160" s="35" t="inlineStr">
        <is>
          <t>Контакт +7 (000) 000 - 00 - 00 / время заказа до 16:00</t>
        </is>
      </c>
      <c r="B160" s="557" t="n"/>
      <c r="C160" s="557" t="n"/>
      <c r="D160" s="557" t="n"/>
      <c r="E160" s="558" t="n"/>
      <c r="F160" s="17" t="n"/>
      <c r="G160" s="17" t="n"/>
      <c r="H160" s="17" t="n"/>
      <c r="I160" s="17" t="n"/>
      <c r="J160" s="17" t="n"/>
      <c r="K160" s="10" t="n"/>
      <c r="L160" s="10" t="n"/>
      <c r="M160" s="10" t="n"/>
      <c r="N160" s="10" t="n"/>
    </row>
    <row r="161">
      <c r="A161" s="35" t="inlineStr">
        <is>
          <t>Название</t>
        </is>
      </c>
      <c r="B161" s="38" t="inlineStr">
        <is>
          <t>Цена</t>
        </is>
      </c>
      <c r="C161" s="38" t="inlineStr">
        <is>
          <t>Мера</t>
        </is>
      </c>
      <c r="D161" s="38" t="inlineStr">
        <is>
          <t>Заказ</t>
        </is>
      </c>
      <c r="E161" s="35" t="inlineStr">
        <is>
          <t>Сумма</t>
        </is>
      </c>
      <c r="F161" s="17" t="n"/>
      <c r="G161" s="17" t="n"/>
      <c r="H161" s="17" t="n"/>
      <c r="I161" s="17" t="n"/>
      <c r="J161" s="17" t="n"/>
      <c r="K161" s="10" t="n"/>
      <c r="L161" s="10" t="n"/>
      <c r="M161" s="10" t="n"/>
      <c r="N161" s="10" t="n"/>
    </row>
    <row r="162">
      <c r="A162" s="237" t="inlineStr">
        <is>
          <t>COFFEE ( lot 4 )</t>
        </is>
      </c>
      <c r="B162" s="99" t="n">
        <v>1220.5</v>
      </c>
      <c r="C162" s="99" t="n">
        <v>1</v>
      </c>
      <c r="D162" s="66" t="n"/>
      <c r="E162" s="51">
        <f>B162*D162</f>
        <v/>
      </c>
      <c r="F162" s="17" t="n"/>
      <c r="G162" s="17" t="n"/>
      <c r="H162" s="17" t="n"/>
      <c r="I162" s="17" t="n"/>
      <c r="J162" s="17" t="n"/>
      <c r="K162" s="10" t="n"/>
      <c r="L162" s="10" t="n"/>
      <c r="M162" s="10" t="n"/>
      <c r="N162" s="10" t="n"/>
    </row>
    <row r="163">
      <c r="A163" s="113" t="inlineStr">
        <is>
          <t xml:space="preserve">ГРЕЧИШНЫЙ </t>
        </is>
      </c>
      <c r="B163" s="99" t="n">
        <v>1257.5</v>
      </c>
      <c r="C163" s="99" t="n">
        <v>1</v>
      </c>
      <c r="D163" s="66" t="n"/>
      <c r="E163" s="51">
        <f>B163*D163</f>
        <v/>
      </c>
      <c r="F163" s="17" t="n"/>
      <c r="G163" s="17" t="n"/>
      <c r="H163" s="17" t="n"/>
      <c r="I163" s="17" t="n"/>
      <c r="J163" s="17" t="n"/>
      <c r="K163" s="10" t="n"/>
      <c r="L163" s="10" t="n"/>
      <c r="M163" s="10" t="n"/>
      <c r="N163" s="10" t="n"/>
    </row>
    <row r="164">
      <c r="A164" s="113" t="inlineStr">
        <is>
          <t>ТРАВЯНОЙ ( спокойной ночи )</t>
        </is>
      </c>
      <c r="B164" s="99" t="n">
        <v>1294.5</v>
      </c>
      <c r="C164" s="99" t="n">
        <v>1</v>
      </c>
      <c r="D164" s="66" t="n"/>
      <c r="E164" s="51">
        <f>B164*D164</f>
        <v/>
      </c>
      <c r="F164" s="17" t="n"/>
      <c r="G164" s="17" t="n"/>
      <c r="H164" s="17" t="n"/>
      <c r="I164" s="17" t="n"/>
      <c r="J164" s="17" t="n"/>
      <c r="K164" s="10" t="n"/>
      <c r="L164" s="10" t="n"/>
      <c r="M164" s="10" t="n"/>
      <c r="N164" s="10" t="n"/>
    </row>
    <row r="165">
      <c r="A165" s="113" t="inlineStr">
        <is>
          <t>СЕНЧА</t>
        </is>
      </c>
      <c r="B165" s="99" t="n">
        <v>1331.5</v>
      </c>
      <c r="C165" s="99" t="n">
        <v>1</v>
      </c>
      <c r="D165" s="66" t="n"/>
      <c r="E165" s="51">
        <f>B165*D165</f>
        <v/>
      </c>
      <c r="F165" s="17" t="n"/>
      <c r="G165" s="17" t="n"/>
      <c r="H165" s="17" t="n"/>
      <c r="I165" s="17" t="n"/>
      <c r="J165" s="17" t="n"/>
      <c r="K165" s="10" t="n"/>
      <c r="L165" s="10" t="n"/>
      <c r="M165" s="10" t="n"/>
      <c r="N165" s="10" t="n"/>
    </row>
    <row r="166">
      <c r="A166" s="113" t="inlineStr">
        <is>
          <t>ЖАСМИН</t>
        </is>
      </c>
      <c r="B166" s="99" t="n">
        <v>1368.5</v>
      </c>
      <c r="C166" s="99" t="n">
        <v>1</v>
      </c>
      <c r="D166" s="66" t="n"/>
      <c r="E166" s="51">
        <f>B166*D166</f>
        <v/>
      </c>
      <c r="F166" s="17" t="n"/>
      <c r="G166" s="17" t="n"/>
      <c r="H166" s="17" t="n"/>
      <c r="I166" s="17" t="n"/>
      <c r="J166" s="17" t="n"/>
      <c r="K166" s="10" t="n"/>
      <c r="L166" s="10" t="n"/>
      <c r="M166" s="10" t="n"/>
      <c r="N166" s="10" t="n"/>
    </row>
    <row r="167">
      <c r="A167" s="113" t="inlineStr">
        <is>
          <t>МОЛОЧНЫЙ УЛУН</t>
        </is>
      </c>
      <c r="B167" s="99" t="n">
        <v>1405.5</v>
      </c>
      <c r="C167" s="99" t="n">
        <v>1</v>
      </c>
      <c r="D167" s="66" t="n"/>
      <c r="E167" s="51">
        <f>B167*D167</f>
        <v/>
      </c>
      <c r="F167" s="17" t="n"/>
      <c r="G167" s="17" t="n"/>
      <c r="H167" s="17" t="n"/>
      <c r="I167" s="17" t="n"/>
      <c r="J167" s="17" t="n"/>
      <c r="K167" s="10" t="n"/>
      <c r="L167" s="10" t="n"/>
      <c r="M167" s="10" t="n"/>
      <c r="N167" s="10" t="n"/>
    </row>
    <row r="168">
      <c r="A168" s="113" t="inlineStr">
        <is>
          <t>АССАМ</t>
        </is>
      </c>
      <c r="B168" s="99" t="n">
        <v>1442.5</v>
      </c>
      <c r="C168" s="99" t="n">
        <v>1</v>
      </c>
      <c r="D168" s="66" t="n"/>
      <c r="E168" s="51">
        <f>B168*D168</f>
        <v/>
      </c>
      <c r="F168" s="17" t="n"/>
      <c r="G168" s="17" t="n"/>
      <c r="H168" s="17" t="n"/>
      <c r="I168" s="17" t="n"/>
      <c r="J168" s="17" t="n"/>
      <c r="K168" s="10" t="n"/>
      <c r="L168" s="10" t="n"/>
      <c r="M168" s="10" t="n"/>
      <c r="N168" s="10" t="n"/>
    </row>
    <row r="169">
      <c r="A169" s="113" t="inlineStr">
        <is>
          <t>ЭРЛ ГРЕЙ</t>
        </is>
      </c>
      <c r="B169" s="99" t="n">
        <v>1479.5</v>
      </c>
      <c r="C169" s="99" t="n">
        <v>1</v>
      </c>
      <c r="D169" s="66" t="n"/>
      <c r="E169" s="51">
        <f>B169*D169</f>
        <v/>
      </c>
      <c r="F169" s="17" t="n"/>
      <c r="G169" s="17" t="n"/>
      <c r="H169" s="17" t="n"/>
      <c r="I169" s="17" t="n"/>
      <c r="J169" s="17" t="n"/>
      <c r="K169" s="10" t="n"/>
      <c r="L169" s="10" t="n"/>
      <c r="M169" s="10" t="n"/>
      <c r="N169" s="10" t="n"/>
    </row>
    <row r="170">
      <c r="A170" s="79" t="inlineStr">
        <is>
          <t>Сумма</t>
        </is>
      </c>
      <c r="B170" s="557" t="n"/>
      <c r="C170" s="557" t="n"/>
      <c r="D170" s="558" t="n"/>
      <c r="E170" s="79">
        <f>SUM(E168:E169)</f>
        <v/>
      </c>
      <c r="F170" s="17" t="n"/>
      <c r="G170" s="17" t="n"/>
      <c r="H170" s="17" t="n"/>
      <c r="I170" s="17" t="n"/>
      <c r="J170" s="17" t="n"/>
      <c r="K170" s="10" t="n"/>
      <c r="L170" s="10" t="n"/>
      <c r="M170" s="10" t="n"/>
      <c r="N170" s="10" t="n"/>
    </row>
    <row r="171">
      <c r="A171" s="566" t="inlineStr">
        <is>
          <t>COCA COLA</t>
        </is>
      </c>
      <c r="B171" s="557" t="n"/>
      <c r="C171" s="557" t="n"/>
      <c r="D171" s="557" t="n"/>
      <c r="E171" s="558" t="n"/>
      <c r="F171" s="17" t="n"/>
      <c r="G171" s="17" t="n"/>
      <c r="H171" s="17" t="n"/>
      <c r="I171" s="17" t="n"/>
      <c r="J171" s="17" t="n"/>
      <c r="K171" s="10" t="n"/>
      <c r="L171" s="10" t="n"/>
      <c r="M171" s="10" t="n"/>
      <c r="N171" s="10" t="n"/>
    </row>
    <row r="172">
      <c r="A172" s="35" t="inlineStr">
        <is>
          <t>Контакт +7 (000) 000 - 00 - 00 / время заказа до 16:00</t>
        </is>
      </c>
      <c r="B172" s="557" t="n"/>
      <c r="C172" s="557" t="n"/>
      <c r="D172" s="557" t="n"/>
      <c r="E172" s="558" t="n"/>
      <c r="F172" s="17" t="n"/>
      <c r="G172" s="17" t="n"/>
      <c r="H172" s="17" t="n"/>
      <c r="I172" s="17" t="n"/>
      <c r="J172" s="17" t="n"/>
      <c r="K172" s="10" t="n"/>
      <c r="L172" s="10" t="n"/>
      <c r="M172" s="10" t="n"/>
      <c r="N172" s="10" t="n"/>
    </row>
    <row r="173">
      <c r="A173" s="35" t="inlineStr">
        <is>
          <t>Название</t>
        </is>
      </c>
      <c r="B173" s="35" t="inlineStr">
        <is>
          <t>Цена</t>
        </is>
      </c>
      <c r="C173" s="35" t="inlineStr">
        <is>
          <t>Мера</t>
        </is>
      </c>
      <c r="D173" s="35" t="inlineStr">
        <is>
          <t>Заказ</t>
        </is>
      </c>
      <c r="E173" s="35" t="inlineStr">
        <is>
          <t>Сумма</t>
        </is>
      </c>
      <c r="F173" s="17" t="n"/>
      <c r="G173" s="17" t="n"/>
      <c r="H173" s="17" t="n"/>
      <c r="I173" s="17" t="n"/>
      <c r="J173" s="17" t="n"/>
      <c r="K173" s="10" t="n"/>
      <c r="L173" s="10" t="n"/>
      <c r="M173" s="10" t="n"/>
      <c r="N173" s="10" t="n"/>
    </row>
    <row r="174">
      <c r="A174" s="182" t="inlineStr">
        <is>
          <t>RICH Tonic</t>
        </is>
      </c>
      <c r="B174" s="328" t="n">
        <v>1664.5</v>
      </c>
      <c r="C174" s="328" t="n">
        <v>12</v>
      </c>
      <c r="D174" s="407" t="n"/>
      <c r="E174" s="168">
        <f>B174*D174</f>
        <v/>
      </c>
      <c r="F174" s="17" t="n"/>
      <c r="G174" s="17" t="n"/>
      <c r="H174" s="17" t="n"/>
      <c r="I174" s="17" t="n"/>
      <c r="J174" s="17" t="n"/>
      <c r="K174" s="10" t="n"/>
      <c r="L174" s="10" t="n"/>
      <c r="M174" s="10" t="n"/>
      <c r="N174" s="10" t="n"/>
    </row>
    <row r="175">
      <c r="A175" s="510" t="inlineStr">
        <is>
          <t>СОК RICH</t>
        </is>
      </c>
      <c r="B175" s="436" t="n">
        <v>1701.5</v>
      </c>
      <c r="C175" s="328" t="n">
        <v>12</v>
      </c>
      <c r="D175" s="407" t="n"/>
      <c r="E175" s="168">
        <f>B175*D175</f>
        <v/>
      </c>
      <c r="F175" s="17" t="n"/>
      <c r="G175" s="17" t="n"/>
      <c r="H175" s="17" t="n"/>
      <c r="I175" s="17" t="n"/>
      <c r="J175" s="17" t="n"/>
      <c r="K175" s="10" t="n"/>
      <c r="L175" s="10" t="n"/>
      <c r="M175" s="10" t="n"/>
      <c r="N175" s="10" t="n"/>
    </row>
    <row r="176">
      <c r="A176" s="436" t="inlineStr">
        <is>
          <t>апельсин</t>
        </is>
      </c>
      <c r="B176" s="436" t="n">
        <v>1738.5</v>
      </c>
      <c r="C176" s="328" t="n">
        <v>12</v>
      </c>
      <c r="D176" s="407" t="n"/>
      <c r="E176" s="168">
        <f>B176*D176</f>
        <v/>
      </c>
      <c r="F176" s="17" t="n"/>
      <c r="G176" s="17" t="n"/>
      <c r="H176" s="17" t="n"/>
      <c r="I176" s="17" t="n"/>
      <c r="J176" s="17" t="n"/>
      <c r="K176" s="10" t="n"/>
      <c r="L176" s="10" t="n"/>
      <c r="M176" s="10" t="n"/>
      <c r="N176" s="10" t="n"/>
    </row>
    <row r="177">
      <c r="A177" s="436" t="inlineStr">
        <is>
          <t>манго</t>
        </is>
      </c>
      <c r="B177" s="436" t="n">
        <v>1775.5</v>
      </c>
      <c r="C177" s="328" t="n">
        <v>12</v>
      </c>
      <c r="D177" s="407" t="n"/>
      <c r="E177" s="168">
        <f>B177*D177</f>
        <v/>
      </c>
      <c r="F177" s="17" t="n"/>
      <c r="G177" s="17" t="n"/>
      <c r="H177" s="17" t="n"/>
      <c r="I177" s="17" t="n"/>
      <c r="J177" s="17" t="n"/>
      <c r="K177" s="10" t="n"/>
      <c r="L177" s="10" t="n"/>
      <c r="M177" s="10" t="n"/>
      <c r="N177" s="10" t="n"/>
    </row>
    <row r="178">
      <c r="A178" s="436" t="inlineStr">
        <is>
          <t>персик</t>
        </is>
      </c>
      <c r="B178" s="436" t="n">
        <v>1812.5</v>
      </c>
      <c r="C178" s="328" t="n">
        <v>12</v>
      </c>
      <c r="D178" s="407" t="n"/>
      <c r="E178" s="168">
        <f>B178*D178</f>
        <v/>
      </c>
      <c r="F178" s="17" t="n"/>
      <c r="G178" s="17" t="n"/>
      <c r="H178" s="17" t="n"/>
      <c r="I178" s="17" t="n"/>
      <c r="J178" s="17" t="n"/>
      <c r="K178" s="10" t="n"/>
      <c r="L178" s="10" t="n"/>
      <c r="M178" s="10" t="n"/>
      <c r="N178" s="10" t="n"/>
    </row>
    <row r="179">
      <c r="A179" s="436" t="inlineStr">
        <is>
          <t>вишня</t>
        </is>
      </c>
      <c r="B179" s="436" t="n">
        <v>1849.5</v>
      </c>
      <c r="C179" s="328" t="n">
        <v>12</v>
      </c>
      <c r="D179" s="407" t="n"/>
      <c r="E179" s="168">
        <f>B179*D179</f>
        <v/>
      </c>
      <c r="F179" s="17" t="n"/>
      <c r="G179" s="17" t="n"/>
      <c r="H179" s="17" t="n"/>
      <c r="I179" s="17" t="n"/>
      <c r="J179" s="17" t="n"/>
      <c r="K179" s="10" t="n"/>
      <c r="L179" s="10" t="n"/>
      <c r="M179" s="10" t="n"/>
      <c r="N179" s="10" t="n"/>
    </row>
    <row r="180">
      <c r="A180" s="436" t="inlineStr">
        <is>
          <t>яблоко</t>
        </is>
      </c>
      <c r="B180" s="436" t="n">
        <v>1886.5</v>
      </c>
      <c r="C180" s="328" t="n">
        <v>12</v>
      </c>
      <c r="D180" s="407" t="n"/>
      <c r="E180" s="168">
        <f>B180*D180</f>
        <v/>
      </c>
      <c r="F180" s="17" t="n"/>
      <c r="G180" s="17" t="n"/>
      <c r="H180" s="17" t="n"/>
      <c r="I180" s="17" t="n"/>
      <c r="J180" s="17" t="n"/>
      <c r="K180" s="10" t="n"/>
      <c r="L180" s="10" t="n"/>
      <c r="M180" s="10" t="n"/>
      <c r="N180" s="10" t="n"/>
    </row>
    <row r="181">
      <c r="A181" s="436" t="inlineStr">
        <is>
          <t>томат</t>
        </is>
      </c>
      <c r="B181" s="436" t="n">
        <v>1923.5</v>
      </c>
      <c r="C181" s="328" t="n">
        <v>12</v>
      </c>
      <c r="D181" s="407" t="n"/>
      <c r="E181" s="168">
        <f>B181*D181</f>
        <v/>
      </c>
      <c r="F181" s="17" t="n"/>
      <c r="G181" s="17" t="n"/>
      <c r="H181" s="17" t="n"/>
      <c r="I181" s="17" t="n"/>
      <c r="J181" s="17" t="n"/>
      <c r="K181" s="10" t="n"/>
      <c r="L181" s="10" t="n"/>
      <c r="M181" s="10" t="n"/>
      <c r="N181" s="10" t="n"/>
    </row>
    <row r="182">
      <c r="A182" s="160" t="inlineStr">
        <is>
          <t>Сумма</t>
        </is>
      </c>
      <c r="B182" s="557" t="n"/>
      <c r="C182" s="557" t="n"/>
      <c r="D182" s="558" t="n"/>
      <c r="E182" s="160">
        <f>SUM(E174:E181)</f>
        <v/>
      </c>
      <c r="F182" s="17" t="n"/>
      <c r="G182" s="17" t="n"/>
      <c r="H182" s="17" t="n"/>
      <c r="I182" s="17" t="n"/>
      <c r="J182" s="17" t="n"/>
      <c r="K182" s="10" t="n"/>
      <c r="L182" s="10" t="n"/>
      <c r="M182" s="10" t="n"/>
      <c r="N182" s="10" t="n"/>
    </row>
    <row r="183">
      <c r="A183" s="566" t="inlineStr">
        <is>
          <t>ЧАЕ</t>
        </is>
      </c>
      <c r="B183" s="557" t="n"/>
      <c r="C183" s="557" t="n"/>
      <c r="D183" s="557" t="n"/>
      <c r="E183" s="558" t="n"/>
      <c r="F183" s="17" t="n"/>
      <c r="G183" s="17" t="n"/>
      <c r="H183" s="17" t="n"/>
      <c r="I183" s="17" t="n"/>
      <c r="J183" s="17" t="n"/>
      <c r="K183" s="10" t="n"/>
      <c r="L183" s="10" t="n"/>
      <c r="M183" s="10" t="n"/>
      <c r="N183" s="10" t="n"/>
    </row>
    <row r="184">
      <c r="A184" s="35" t="inlineStr">
        <is>
          <t>Контакт +7 (000) 000 - 00 - 00 / время заказа до 16:00</t>
        </is>
      </c>
      <c r="B184" s="557" t="n"/>
      <c r="C184" s="557" t="n"/>
      <c r="D184" s="557" t="n"/>
      <c r="E184" s="558" t="n"/>
      <c r="F184" s="17" t="n"/>
      <c r="G184" s="17" t="n"/>
      <c r="H184" s="17" t="n"/>
      <c r="I184" s="17" t="n"/>
      <c r="J184" s="17" t="n"/>
      <c r="K184" s="10" t="n"/>
      <c r="L184" s="10" t="n"/>
      <c r="M184" s="10" t="n"/>
      <c r="N184" s="10" t="n"/>
    </row>
    <row r="185">
      <c r="A185" s="35" t="inlineStr">
        <is>
          <t>Название</t>
        </is>
      </c>
      <c r="B185" s="38" t="inlineStr">
        <is>
          <t>Цена</t>
        </is>
      </c>
      <c r="C185" s="38" t="inlineStr">
        <is>
          <t>Мера</t>
        </is>
      </c>
      <c r="D185" s="38" t="inlineStr">
        <is>
          <t>Заказ</t>
        </is>
      </c>
      <c r="E185" s="35" t="inlineStr">
        <is>
          <t>Сумма</t>
        </is>
      </c>
      <c r="F185" s="17" t="n"/>
      <c r="G185" s="17" t="n"/>
      <c r="H185" s="17" t="n"/>
      <c r="I185" s="17" t="n"/>
      <c r="J185" s="17" t="n"/>
      <c r="K185" s="10" t="n"/>
      <c r="L185" s="10" t="n"/>
      <c r="M185" s="10" t="n"/>
      <c r="N185" s="10" t="n"/>
    </row>
    <row r="186">
      <c r="A186" s="251" t="inlineStr">
        <is>
          <t>Габба "земля"</t>
        </is>
      </c>
      <c r="B186" s="99" t="n">
        <v>2108.5</v>
      </c>
      <c r="C186" s="99" t="inlineStr">
        <is>
          <t>1 кг</t>
        </is>
      </c>
      <c r="D186" s="66" t="n"/>
      <c r="E186" s="51">
        <f>B186*D186</f>
        <v/>
      </c>
      <c r="F186" s="17" t="n"/>
      <c r="G186" s="17" t="n"/>
      <c r="H186" s="17" t="n"/>
      <c r="I186" s="17" t="n"/>
      <c r="J186" s="17" t="n"/>
      <c r="K186" s="10" t="n"/>
      <c r="L186" s="10" t="n"/>
      <c r="M186" s="10" t="n"/>
      <c r="N186" s="10" t="n"/>
    </row>
    <row r="187">
      <c r="A187" s="251" t="inlineStr">
        <is>
          <t>Пуэр "шелест ветров"</t>
        </is>
      </c>
      <c r="B187" s="99" t="n">
        <v>2145.5</v>
      </c>
      <c r="C187" s="99" t="inlineStr">
        <is>
          <t>250 грм/блин</t>
        </is>
      </c>
      <c r="D187" s="66" t="n"/>
      <c r="E187" s="51">
        <f>B187*D187</f>
        <v/>
      </c>
      <c r="F187" s="17" t="n"/>
      <c r="G187" s="17" t="n"/>
      <c r="H187" s="17" t="n"/>
      <c r="I187" s="17" t="n"/>
      <c r="J187" s="17" t="n"/>
      <c r="K187" s="10" t="n"/>
      <c r="L187" s="10" t="n"/>
      <c r="M187" s="10" t="n"/>
      <c r="N187" s="10" t="n"/>
    </row>
    <row r="188">
      <c r="A188" s="251" t="inlineStr">
        <is>
          <t>Лунцзин "Люй Мао Фен Ворсистые пики"</t>
        </is>
      </c>
      <c r="B188" s="99" t="n">
        <v>2182.5</v>
      </c>
      <c r="C188" s="99" t="inlineStr">
        <is>
          <t>250 грм</t>
        </is>
      </c>
      <c r="D188" s="66" t="n"/>
      <c r="E188" s="51">
        <f>B188*D188</f>
        <v/>
      </c>
      <c r="F188" s="17" t="n"/>
      <c r="G188" s="17" t="n"/>
      <c r="H188" s="17" t="n"/>
      <c r="I188" s="17" t="n"/>
      <c r="J188" s="17" t="n"/>
      <c r="K188" s="10" t="n"/>
      <c r="L188" s="10" t="n"/>
      <c r="M188" s="10" t="n"/>
      <c r="N188" s="10" t="n"/>
    </row>
    <row r="189">
      <c r="A189" s="79" t="inlineStr">
        <is>
          <t>Сумма</t>
        </is>
      </c>
      <c r="B189" s="557" t="n"/>
      <c r="C189" s="557" t="n"/>
      <c r="D189" s="558" t="n"/>
      <c r="E189" s="79">
        <f>SUM(E186:E188)</f>
        <v/>
      </c>
      <c r="F189" s="17" t="n"/>
      <c r="G189" s="17" t="n"/>
      <c r="H189" s="17" t="n"/>
      <c r="I189" s="17" t="n"/>
      <c r="J189" s="17" t="n"/>
      <c r="K189" s="10" t="n"/>
      <c r="L189" s="10" t="n"/>
      <c r="M189" s="10" t="n"/>
      <c r="N189" s="10" t="n"/>
    </row>
    <row r="190">
      <c r="A190" s="17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0" t="n"/>
      <c r="L190" s="10" t="n"/>
      <c r="M190" s="10" t="n"/>
      <c r="N190" s="10" t="n"/>
    </row>
    <row r="191">
      <c r="A191" s="17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0" t="n"/>
      <c r="L191" s="10" t="n"/>
      <c r="M191" s="10" t="n"/>
      <c r="N191" s="10" t="n"/>
    </row>
    <row r="192">
      <c r="A192" s="17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0" t="n"/>
      <c r="L192" s="10" t="n"/>
      <c r="M192" s="10" t="n"/>
      <c r="N192" s="10" t="n"/>
    </row>
    <row r="193">
      <c r="A193" s="17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0" t="n"/>
      <c r="L193" s="10" t="n"/>
      <c r="M193" s="10" t="n"/>
      <c r="N193" s="10" t="n"/>
    </row>
    <row r="194">
      <c r="A194" s="17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0" t="n"/>
      <c r="L194" s="10" t="n"/>
      <c r="M194" s="10" t="n"/>
      <c r="N194" s="10" t="n"/>
    </row>
    <row r="195">
      <c r="A195" s="17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0" t="n"/>
      <c r="L195" s="10" t="n"/>
      <c r="M195" s="10" t="n"/>
      <c r="N195" s="10" t="n"/>
    </row>
    <row r="196">
      <c r="A196" s="17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0" t="n"/>
      <c r="L196" s="10" t="n"/>
      <c r="M196" s="10" t="n"/>
      <c r="N196" s="10" t="n"/>
    </row>
    <row r="197">
      <c r="A197" s="17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0" t="n"/>
      <c r="L197" s="10" t="n"/>
      <c r="M197" s="10" t="n"/>
      <c r="N197" s="10" t="n"/>
    </row>
    <row r="198">
      <c r="A198" s="17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0" t="n"/>
      <c r="L198" s="10" t="n"/>
      <c r="M198" s="10" t="n"/>
      <c r="N198" s="10" t="n"/>
    </row>
    <row r="199">
      <c r="A199" s="17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0" t="n"/>
      <c r="L199" s="10" t="n"/>
      <c r="M199" s="10" t="n"/>
      <c r="N199" s="10" t="n"/>
    </row>
    <row r="200">
      <c r="A200" s="17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0" t="n"/>
      <c r="L200" s="10" t="n"/>
      <c r="M200" s="10" t="n"/>
      <c r="N200" s="10" t="n"/>
    </row>
    <row r="201">
      <c r="A201" s="17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0" t="n"/>
      <c r="L201" s="10" t="n"/>
      <c r="M201" s="10" t="n"/>
      <c r="N201" s="10" t="n"/>
    </row>
    <row r="202">
      <c r="A202" s="17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0" t="n"/>
      <c r="L202" s="10" t="n"/>
      <c r="M202" s="10" t="n"/>
      <c r="N202" s="10" t="n"/>
    </row>
    <row r="203">
      <c r="A203" s="17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0" t="n"/>
      <c r="L203" s="10" t="n"/>
      <c r="M203" s="10" t="n"/>
      <c r="N203" s="10" t="n"/>
    </row>
    <row r="204">
      <c r="A204" s="17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0" t="n"/>
      <c r="L204" s="10" t="n"/>
      <c r="M204" s="10" t="n"/>
      <c r="N204" s="10" t="n"/>
    </row>
    <row r="205">
      <c r="A205" s="17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0" t="n"/>
      <c r="L205" s="10" t="n"/>
      <c r="M205" s="10" t="n"/>
      <c r="N205" s="10" t="n"/>
    </row>
    <row r="206">
      <c r="A206" s="17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0" t="n"/>
      <c r="L206" s="10" t="n"/>
      <c r="M206" s="10" t="n"/>
      <c r="N206" s="10" t="n"/>
    </row>
    <row r="207">
      <c r="A207" s="17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0" t="n"/>
      <c r="L207" s="10" t="n"/>
      <c r="M207" s="10" t="n"/>
      <c r="N207" s="10" t="n"/>
    </row>
    <row r="208">
      <c r="A208" s="17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0" t="n"/>
      <c r="L208" s="10" t="n"/>
      <c r="M208" s="10" t="n"/>
      <c r="N208" s="10" t="n"/>
    </row>
    <row r="209">
      <c r="A209" s="17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0" t="n"/>
      <c r="L209" s="10" t="n"/>
      <c r="M209" s="10" t="n"/>
      <c r="N209" s="10" t="n"/>
    </row>
    <row r="210">
      <c r="A210" s="17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0" t="n"/>
      <c r="L210" s="10" t="n"/>
      <c r="M210" s="10" t="n"/>
      <c r="N210" s="10" t="n"/>
    </row>
    <row r="211">
      <c r="A211" s="17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0" t="n"/>
      <c r="L211" s="10" t="n"/>
      <c r="M211" s="10" t="n"/>
      <c r="N211" s="10" t="n"/>
    </row>
    <row r="212">
      <c r="A212" s="17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0" t="n"/>
      <c r="L212" s="10" t="n"/>
      <c r="M212" s="10" t="n"/>
      <c r="N212" s="10" t="n"/>
    </row>
    <row r="213">
      <c r="A213" s="17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0" t="n"/>
      <c r="L213" s="10" t="n"/>
      <c r="M213" s="10" t="n"/>
      <c r="N213" s="10" t="n"/>
    </row>
    <row r="214">
      <c r="A214" s="17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0" t="n"/>
      <c r="L214" s="10" t="n"/>
      <c r="M214" s="10" t="n"/>
      <c r="N214" s="10" t="n"/>
    </row>
    <row r="215">
      <c r="A215" s="17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0" t="n"/>
      <c r="L215" s="10" t="n"/>
      <c r="M215" s="10" t="n"/>
      <c r="N215" s="10" t="n"/>
    </row>
    <row r="216">
      <c r="A216" s="17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0" t="n"/>
      <c r="L216" s="10" t="n"/>
      <c r="M216" s="10" t="n"/>
      <c r="N216" s="10" t="n"/>
    </row>
    <row r="217">
      <c r="A217" s="17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0" t="n"/>
      <c r="L217" s="10" t="n"/>
      <c r="M217" s="10" t="n"/>
      <c r="N217" s="10" t="n"/>
    </row>
    <row r="218">
      <c r="A218" s="17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0" t="n"/>
      <c r="L218" s="10" t="n"/>
      <c r="M218" s="10" t="n"/>
      <c r="N218" s="10" t="n"/>
    </row>
    <row r="219">
      <c r="A219" s="17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0" t="n"/>
      <c r="L219" s="10" t="n"/>
      <c r="M219" s="10" t="n"/>
      <c r="N219" s="10" t="n"/>
    </row>
    <row r="220">
      <c r="A220" s="17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0" t="n"/>
      <c r="L220" s="10" t="n"/>
      <c r="M220" s="10" t="n"/>
      <c r="N220" s="10" t="n"/>
    </row>
    <row r="221">
      <c r="A221" s="17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0" t="n"/>
      <c r="L221" s="10" t="n"/>
      <c r="M221" s="10" t="n"/>
      <c r="N221" s="10" t="n"/>
    </row>
    <row r="222">
      <c r="A222" s="17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0" t="n"/>
      <c r="L222" s="10" t="n"/>
      <c r="M222" s="10" t="n"/>
      <c r="N222" s="10" t="n"/>
    </row>
    <row r="223">
      <c r="A223" s="17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0" t="n"/>
      <c r="L223" s="10" t="n"/>
      <c r="M223" s="10" t="n"/>
      <c r="N223" s="10" t="n"/>
    </row>
    <row r="224">
      <c r="A224" s="17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0" t="n"/>
      <c r="L224" s="10" t="n"/>
      <c r="M224" s="10" t="n"/>
      <c r="N224" s="10" t="n"/>
    </row>
    <row r="225">
      <c r="A225" s="17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0" t="n"/>
      <c r="L225" s="10" t="n"/>
      <c r="M225" s="10" t="n"/>
      <c r="N225" s="10" t="n"/>
    </row>
    <row r="226">
      <c r="A226" s="17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0" t="n"/>
      <c r="L226" s="10" t="n"/>
      <c r="M226" s="10" t="n"/>
      <c r="N226" s="10" t="n"/>
    </row>
    <row r="227">
      <c r="A227" s="17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0" t="n"/>
      <c r="L227" s="10" t="n"/>
      <c r="M227" s="10" t="n"/>
      <c r="N227" s="10" t="n"/>
    </row>
    <row r="228">
      <c r="A228" s="17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0" t="n"/>
      <c r="L228" s="10" t="n"/>
      <c r="M228" s="10" t="n"/>
      <c r="N228" s="10" t="n"/>
    </row>
    <row r="229">
      <c r="A229" s="17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0" t="n"/>
      <c r="L229" s="10" t="n"/>
      <c r="M229" s="10" t="n"/>
      <c r="N229" s="10" t="n"/>
    </row>
    <row r="230">
      <c r="A230" s="17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0" t="n"/>
      <c r="L230" s="10" t="n"/>
      <c r="M230" s="10" t="n"/>
      <c r="N230" s="10" t="n"/>
    </row>
    <row r="231">
      <c r="A231" s="17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0" t="n"/>
      <c r="L231" s="10" t="n"/>
      <c r="M231" s="10" t="n"/>
      <c r="N231" s="10" t="n"/>
    </row>
    <row r="232">
      <c r="A232" s="17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0" t="n"/>
      <c r="L232" s="10" t="n"/>
      <c r="M232" s="10" t="n"/>
      <c r="N232" s="10" t="n"/>
    </row>
    <row r="233">
      <c r="A233" s="17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0" t="n"/>
      <c r="L233" s="10" t="n"/>
      <c r="M233" s="10" t="n"/>
      <c r="N233" s="10" t="n"/>
    </row>
    <row r="234">
      <c r="A234" s="17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0" t="n"/>
      <c r="L234" s="10" t="n"/>
      <c r="M234" s="10" t="n"/>
      <c r="N234" s="10" t="n"/>
    </row>
    <row r="235">
      <c r="A235" s="17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0" t="n"/>
      <c r="L235" s="10" t="n"/>
      <c r="M235" s="10" t="n"/>
      <c r="N235" s="10" t="n"/>
    </row>
    <row r="236">
      <c r="A236" s="17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0" t="n"/>
      <c r="L236" s="10" t="n"/>
      <c r="M236" s="10" t="n"/>
      <c r="N236" s="10" t="n"/>
    </row>
    <row r="237">
      <c r="A237" s="17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0" t="n"/>
      <c r="L237" s="10" t="n"/>
      <c r="M237" s="10" t="n"/>
      <c r="N237" s="10" t="n"/>
    </row>
    <row r="238">
      <c r="A238" s="17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0" t="n"/>
      <c r="L238" s="10" t="n"/>
      <c r="M238" s="10" t="n"/>
      <c r="N238" s="10" t="n"/>
    </row>
    <row r="239">
      <c r="A239" s="17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0" t="n"/>
      <c r="L239" s="10" t="n"/>
      <c r="M239" s="10" t="n"/>
      <c r="N239" s="10" t="n"/>
    </row>
    <row r="240">
      <c r="A240" s="17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0" t="n"/>
      <c r="L240" s="10" t="n"/>
      <c r="M240" s="10" t="n"/>
      <c r="N240" s="10" t="n"/>
    </row>
    <row r="241">
      <c r="A241" s="17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0" t="n"/>
      <c r="L241" s="10" t="n"/>
      <c r="M241" s="10" t="n"/>
      <c r="N241" s="10" t="n"/>
    </row>
    <row r="242">
      <c r="A242" s="17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0" t="n"/>
      <c r="L242" s="10" t="n"/>
      <c r="M242" s="10" t="n"/>
      <c r="N242" s="10" t="n"/>
    </row>
    <row r="243">
      <c r="A243" s="17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0" t="n"/>
      <c r="L243" s="10" t="n"/>
      <c r="M243" s="10" t="n"/>
      <c r="N243" s="10" t="n"/>
    </row>
    <row r="244">
      <c r="A244" s="17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0" t="n"/>
      <c r="L244" s="10" t="n"/>
      <c r="M244" s="10" t="n"/>
      <c r="N244" s="10" t="n"/>
    </row>
    <row r="245">
      <c r="A245" s="17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0" t="n"/>
      <c r="L245" s="10" t="n"/>
      <c r="M245" s="10" t="n"/>
      <c r="N245" s="10" t="n"/>
    </row>
    <row r="246">
      <c r="A246" s="17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0" t="n"/>
      <c r="L246" s="10" t="n"/>
      <c r="M246" s="10" t="n"/>
      <c r="N246" s="10" t="n"/>
    </row>
    <row r="247">
      <c r="A247" s="17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0" t="n"/>
      <c r="L247" s="10" t="n"/>
      <c r="M247" s="10" t="n"/>
      <c r="N247" s="10" t="n"/>
    </row>
    <row r="248">
      <c r="A248" s="17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0" t="n"/>
      <c r="L248" s="10" t="n"/>
      <c r="M248" s="10" t="n"/>
      <c r="N248" s="10" t="n"/>
    </row>
    <row r="249">
      <c r="A249" s="17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0" t="n"/>
      <c r="L249" s="10" t="n"/>
      <c r="M249" s="10" t="n"/>
      <c r="N249" s="10" t="n"/>
    </row>
    <row r="250">
      <c r="A250" s="17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0" t="n"/>
      <c r="L250" s="10" t="n"/>
      <c r="M250" s="10" t="n"/>
      <c r="N250" s="10" t="n"/>
    </row>
    <row r="251">
      <c r="A251" s="17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0" t="n"/>
      <c r="L251" s="10" t="n"/>
      <c r="M251" s="10" t="n"/>
      <c r="N251" s="10" t="n"/>
    </row>
    <row r="252">
      <c r="A252" s="17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0" t="n"/>
      <c r="L252" s="10" t="n"/>
      <c r="M252" s="10" t="n"/>
      <c r="N252" s="10" t="n"/>
    </row>
    <row r="253">
      <c r="A253" s="17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0" t="n"/>
      <c r="L253" s="10" t="n"/>
      <c r="M253" s="10" t="n"/>
      <c r="N253" s="10" t="n"/>
    </row>
    <row r="254">
      <c r="A254" s="17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0" t="n"/>
      <c r="L254" s="10" t="n"/>
      <c r="M254" s="10" t="n"/>
      <c r="N254" s="10" t="n"/>
    </row>
    <row r="255">
      <c r="A255" s="17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0" t="n"/>
      <c r="L255" s="10" t="n"/>
      <c r="M255" s="10" t="n"/>
      <c r="N255" s="10" t="n"/>
    </row>
    <row r="256">
      <c r="A256" s="17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0" t="n"/>
      <c r="L256" s="10" t="n"/>
      <c r="M256" s="10" t="n"/>
      <c r="N256" s="10" t="n"/>
    </row>
    <row r="257">
      <c r="A257" s="17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0" t="n"/>
      <c r="L257" s="10" t="n"/>
      <c r="M257" s="10" t="n"/>
      <c r="N257" s="10" t="n"/>
    </row>
    <row r="258">
      <c r="A258" s="17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0" t="n"/>
      <c r="L258" s="10" t="n"/>
      <c r="M258" s="10" t="n"/>
      <c r="N258" s="10" t="n"/>
    </row>
    <row r="259">
      <c r="A259" s="17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0" t="n"/>
      <c r="L259" s="10" t="n"/>
      <c r="M259" s="10" t="n"/>
      <c r="N259" s="10" t="n"/>
    </row>
    <row r="260">
      <c r="A260" s="17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0" t="n"/>
      <c r="L260" s="10" t="n"/>
      <c r="M260" s="10" t="n"/>
      <c r="N260" s="10" t="n"/>
    </row>
    <row r="261">
      <c r="A261" s="17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0" t="n"/>
      <c r="L261" s="10" t="n"/>
      <c r="M261" s="10" t="n"/>
      <c r="N261" s="10" t="n"/>
    </row>
    <row r="262">
      <c r="A262" s="17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0" t="n"/>
      <c r="L262" s="10" t="n"/>
      <c r="M262" s="10" t="n"/>
      <c r="N262" s="10" t="n"/>
    </row>
    <row r="263">
      <c r="A263" s="17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0" t="n"/>
      <c r="L263" s="10" t="n"/>
      <c r="M263" s="10" t="n"/>
      <c r="N263" s="10" t="n"/>
    </row>
    <row r="264">
      <c r="A264" s="17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0" t="n"/>
      <c r="L264" s="10" t="n"/>
      <c r="M264" s="10" t="n"/>
      <c r="N264" s="10" t="n"/>
    </row>
    <row r="265">
      <c r="A265" s="17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0" t="n"/>
      <c r="L265" s="10" t="n"/>
      <c r="M265" s="10" t="n"/>
      <c r="N265" s="10" t="n"/>
    </row>
    <row r="266">
      <c r="A266" s="17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0" t="n"/>
      <c r="L266" s="10" t="n"/>
      <c r="M266" s="10" t="n"/>
      <c r="N266" s="10" t="n"/>
    </row>
    <row r="267">
      <c r="A267" s="17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0" t="n"/>
      <c r="L267" s="10" t="n"/>
      <c r="M267" s="10" t="n"/>
      <c r="N267" s="10" t="n"/>
    </row>
    <row r="268">
      <c r="A268" s="17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0" t="n"/>
      <c r="L268" s="10" t="n"/>
      <c r="M268" s="10" t="n"/>
      <c r="N268" s="10" t="n"/>
    </row>
    <row r="269">
      <c r="A269" s="17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0" t="n"/>
      <c r="L269" s="10" t="n"/>
      <c r="M269" s="10" t="n"/>
      <c r="N269" s="10" t="n"/>
    </row>
    <row r="270">
      <c r="A270" s="17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0" t="n"/>
      <c r="L270" s="10" t="n"/>
      <c r="M270" s="10" t="n"/>
      <c r="N270" s="10" t="n"/>
    </row>
    <row r="271">
      <c r="A271" s="17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0" t="n"/>
      <c r="L271" s="10" t="n"/>
      <c r="M271" s="10" t="n"/>
      <c r="N271" s="10" t="n"/>
    </row>
    <row r="272">
      <c r="A272" s="17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0" t="n"/>
      <c r="L272" s="10" t="n"/>
      <c r="M272" s="10" t="n"/>
      <c r="N272" s="10" t="n"/>
    </row>
    <row r="273">
      <c r="A273" s="17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0" t="n"/>
      <c r="L273" s="10" t="n"/>
      <c r="M273" s="10" t="n"/>
      <c r="N273" s="10" t="n"/>
    </row>
    <row r="274">
      <c r="A274" s="17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0" t="n"/>
      <c r="L274" s="10" t="n"/>
      <c r="M274" s="10" t="n"/>
      <c r="N274" s="10" t="n"/>
    </row>
    <row r="275">
      <c r="A275" s="17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0" t="n"/>
      <c r="L275" s="10" t="n"/>
      <c r="M275" s="10" t="n"/>
      <c r="N275" s="10" t="n"/>
    </row>
    <row r="276">
      <c r="A276" s="17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0" t="n"/>
      <c r="L276" s="10" t="n"/>
      <c r="M276" s="10" t="n"/>
      <c r="N276" s="10" t="n"/>
    </row>
    <row r="277">
      <c r="A277" s="17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0" t="n"/>
      <c r="L277" s="10" t="n"/>
      <c r="M277" s="10" t="n"/>
      <c r="N277" s="10" t="n"/>
    </row>
    <row r="278">
      <c r="A278" s="17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0" t="n"/>
      <c r="L278" s="10" t="n"/>
      <c r="M278" s="10" t="n"/>
      <c r="N278" s="10" t="n"/>
    </row>
    <row r="279">
      <c r="A279" s="17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0" t="n"/>
      <c r="L279" s="10" t="n"/>
      <c r="M279" s="10" t="n"/>
      <c r="N279" s="10" t="n"/>
    </row>
    <row r="280">
      <c r="A280" s="17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0" t="n"/>
      <c r="L280" s="10" t="n"/>
      <c r="M280" s="10" t="n"/>
      <c r="N280" s="10" t="n"/>
    </row>
    <row r="281">
      <c r="A281" s="17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0" t="n"/>
      <c r="L281" s="10" t="n"/>
      <c r="M281" s="10" t="n"/>
      <c r="N281" s="10" t="n"/>
    </row>
    <row r="282">
      <c r="A282" s="17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0" t="n"/>
      <c r="L282" s="10" t="n"/>
      <c r="M282" s="10" t="n"/>
      <c r="N282" s="10" t="n"/>
    </row>
    <row r="283">
      <c r="A283" s="17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0" t="n"/>
      <c r="L283" s="10" t="n"/>
      <c r="M283" s="10" t="n"/>
      <c r="N283" s="10" t="n"/>
    </row>
    <row r="284">
      <c r="A284" s="17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0" t="n"/>
      <c r="L284" s="10" t="n"/>
      <c r="M284" s="10" t="n"/>
      <c r="N284" s="10" t="n"/>
    </row>
    <row r="285">
      <c r="A285" s="17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0" t="n"/>
      <c r="L285" s="10" t="n"/>
      <c r="M285" s="10" t="n"/>
      <c r="N285" s="10" t="n"/>
    </row>
    <row r="286">
      <c r="A286" s="17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0" t="n"/>
      <c r="L286" s="10" t="n"/>
      <c r="M286" s="10" t="n"/>
      <c r="N286" s="10" t="n"/>
    </row>
    <row r="287">
      <c r="A287" s="17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0" t="n"/>
      <c r="L287" s="10" t="n"/>
      <c r="M287" s="10" t="n"/>
      <c r="N287" s="10" t="n"/>
    </row>
    <row r="288">
      <c r="A288" s="17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0" t="n"/>
      <c r="L288" s="10" t="n"/>
      <c r="M288" s="10" t="n"/>
      <c r="N288" s="10" t="n"/>
    </row>
    <row r="289">
      <c r="A289" s="17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0" t="n"/>
      <c r="L289" s="10" t="n"/>
      <c r="M289" s="10" t="n"/>
      <c r="N289" s="10" t="n"/>
    </row>
    <row r="290">
      <c r="A290" s="17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0" t="n"/>
      <c r="L290" s="10" t="n"/>
      <c r="M290" s="10" t="n"/>
      <c r="N290" s="10" t="n"/>
    </row>
    <row r="291">
      <c r="A291" s="17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0" t="n"/>
      <c r="L291" s="10" t="n"/>
      <c r="M291" s="10" t="n"/>
      <c r="N291" s="10" t="n"/>
    </row>
    <row r="292">
      <c r="A292" s="17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0" t="n"/>
      <c r="L292" s="10" t="n"/>
      <c r="M292" s="10" t="n"/>
      <c r="N292" s="10" t="n"/>
    </row>
    <row r="293">
      <c r="A293" s="17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0" t="n"/>
      <c r="L293" s="10" t="n"/>
      <c r="M293" s="10" t="n"/>
      <c r="N293" s="10" t="n"/>
    </row>
    <row r="294">
      <c r="A294" s="17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0" t="n"/>
      <c r="L294" s="10" t="n"/>
      <c r="M294" s="10" t="n"/>
      <c r="N294" s="10" t="n"/>
    </row>
    <row r="295">
      <c r="A295" s="17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0" t="n"/>
      <c r="L295" s="10" t="n"/>
      <c r="M295" s="10" t="n"/>
      <c r="N295" s="10" t="n"/>
    </row>
    <row r="296">
      <c r="A296" s="17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0" t="n"/>
      <c r="L296" s="10" t="n"/>
      <c r="M296" s="10" t="n"/>
      <c r="N296" s="10" t="n"/>
    </row>
    <row r="297">
      <c r="A297" s="17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0" t="n"/>
      <c r="L297" s="10" t="n"/>
      <c r="M297" s="10" t="n"/>
      <c r="N297" s="10" t="n"/>
    </row>
    <row r="298">
      <c r="A298" s="17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0" t="n"/>
      <c r="L298" s="10" t="n"/>
      <c r="M298" s="10" t="n"/>
      <c r="N298" s="10" t="n"/>
    </row>
    <row r="299">
      <c r="A299" s="17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0" t="n"/>
      <c r="L299" s="10" t="n"/>
      <c r="M299" s="10" t="n"/>
      <c r="N299" s="10" t="n"/>
    </row>
    <row r="300">
      <c r="A300" s="17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0" t="n"/>
      <c r="L300" s="10" t="n"/>
      <c r="M300" s="10" t="n"/>
      <c r="N300" s="10" t="n"/>
    </row>
    <row r="301">
      <c r="A301" s="17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0" t="n"/>
      <c r="L301" s="10" t="n"/>
      <c r="M301" s="10" t="n"/>
      <c r="N301" s="10" t="n"/>
    </row>
    <row r="302">
      <c r="A302" s="17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0" t="n"/>
      <c r="L302" s="10" t="n"/>
      <c r="M302" s="10" t="n"/>
      <c r="N302" s="10" t="n"/>
    </row>
    <row r="303">
      <c r="A303" s="17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0" t="n"/>
      <c r="L303" s="10" t="n"/>
      <c r="M303" s="10" t="n"/>
      <c r="N303" s="10" t="n"/>
    </row>
    <row r="304">
      <c r="A304" s="17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0" t="n"/>
      <c r="L304" s="10" t="n"/>
      <c r="M304" s="10" t="n"/>
      <c r="N304" s="10" t="n"/>
    </row>
    <row r="305">
      <c r="A305" s="17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0" t="n"/>
      <c r="L305" s="10" t="n"/>
      <c r="M305" s="10" t="n"/>
      <c r="N305" s="10" t="n"/>
    </row>
    <row r="306">
      <c r="A306" s="17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0" t="n"/>
      <c r="L306" s="10" t="n"/>
      <c r="M306" s="10" t="n"/>
      <c r="N306" s="10" t="n"/>
    </row>
    <row r="307">
      <c r="A307" s="17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0" t="n"/>
      <c r="L307" s="10" t="n"/>
      <c r="M307" s="10" t="n"/>
      <c r="N307" s="10" t="n"/>
    </row>
    <row r="308">
      <c r="A308" s="17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0" t="n"/>
      <c r="L308" s="10" t="n"/>
      <c r="M308" s="10" t="n"/>
      <c r="N308" s="10" t="n"/>
    </row>
    <row r="309">
      <c r="A309" s="17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0" t="n"/>
      <c r="L309" s="10" t="n"/>
      <c r="M309" s="10" t="n"/>
      <c r="N309" s="10" t="n"/>
    </row>
    <row r="310">
      <c r="A310" s="17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0" t="n"/>
      <c r="L310" s="10" t="n"/>
      <c r="M310" s="10" t="n"/>
      <c r="N310" s="10" t="n"/>
    </row>
    <row r="311">
      <c r="A311" s="17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0" t="n"/>
      <c r="L311" s="10" t="n"/>
      <c r="M311" s="10" t="n"/>
      <c r="N311" s="10" t="n"/>
    </row>
    <row r="312">
      <c r="A312" s="17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0" t="n"/>
      <c r="L312" s="10" t="n"/>
      <c r="M312" s="10" t="n"/>
      <c r="N312" s="10" t="n"/>
    </row>
    <row r="313">
      <c r="A313" s="17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0" t="n"/>
      <c r="L313" s="10" t="n"/>
      <c r="M313" s="10" t="n"/>
      <c r="N313" s="10" t="n"/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0" t="n"/>
      <c r="L314" s="10" t="n"/>
      <c r="M314" s="10" t="n"/>
      <c r="N314" s="10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0" t="n"/>
      <c r="L315" s="10" t="n"/>
      <c r="M315" s="10" t="n"/>
      <c r="N315" s="10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0" t="n"/>
      <c r="L316" s="10" t="n"/>
      <c r="M316" s="10" t="n"/>
      <c r="N316" s="10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0" t="n"/>
      <c r="L317" s="10" t="n"/>
      <c r="M317" s="10" t="n"/>
      <c r="N317" s="10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0" t="n"/>
      <c r="L318" s="10" t="n"/>
      <c r="M318" s="10" t="n"/>
      <c r="N318" s="10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0" t="n"/>
      <c r="L319" s="10" t="n"/>
      <c r="M319" s="10" t="n"/>
      <c r="N319" s="10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0" t="n"/>
      <c r="L320" s="10" t="n"/>
      <c r="M320" s="10" t="n"/>
      <c r="N320" s="10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0" t="n"/>
      <c r="L321" s="10" t="n"/>
      <c r="M321" s="10" t="n"/>
      <c r="N321" s="10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0" t="n"/>
      <c r="L322" s="10" t="n"/>
      <c r="M322" s="10" t="n"/>
      <c r="N322" s="10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0" t="n"/>
      <c r="L323" s="10" t="n"/>
      <c r="M323" s="10" t="n"/>
      <c r="N323" s="10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0" t="n"/>
      <c r="L324" s="10" t="n"/>
      <c r="M324" s="10" t="n"/>
      <c r="N324" s="10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0" t="n"/>
      <c r="L325" s="10" t="n"/>
      <c r="M325" s="10" t="n"/>
      <c r="N325" s="10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0" t="n"/>
      <c r="L326" s="10" t="n"/>
      <c r="M326" s="10" t="n"/>
      <c r="N326" s="10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0" t="n"/>
      <c r="L327" s="10" t="n"/>
      <c r="M327" s="10" t="n"/>
      <c r="N327" s="10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0" t="n"/>
      <c r="L328" s="10" t="n"/>
      <c r="M328" s="10" t="n"/>
      <c r="N328" s="10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0" t="n"/>
      <c r="L329" s="10" t="n"/>
      <c r="M329" s="10" t="n"/>
      <c r="N329" s="10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0" t="n"/>
      <c r="L330" s="10" t="n"/>
      <c r="M330" s="10" t="n"/>
      <c r="N330" s="10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0" t="n"/>
      <c r="L331" s="10" t="n"/>
      <c r="M331" s="10" t="n"/>
      <c r="N331" s="10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0" t="n"/>
      <c r="L332" s="10" t="n"/>
      <c r="M332" s="10" t="n"/>
      <c r="N332" s="10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0" t="n"/>
      <c r="L333" s="10" t="n"/>
      <c r="M333" s="10" t="n"/>
      <c r="N333" s="10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0" t="n"/>
      <c r="L334" s="10" t="n"/>
      <c r="M334" s="10" t="n"/>
      <c r="N334" s="10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0" t="n"/>
      <c r="L335" s="10" t="n"/>
      <c r="M335" s="10" t="n"/>
      <c r="N335" s="10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0" t="n"/>
      <c r="L336" s="10" t="n"/>
      <c r="M336" s="10" t="n"/>
      <c r="N336" s="10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0" t="n"/>
      <c r="L337" s="10" t="n"/>
      <c r="M337" s="10" t="n"/>
      <c r="N337" s="10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0" t="n"/>
      <c r="L338" s="10" t="n"/>
      <c r="M338" s="10" t="n"/>
      <c r="N338" s="10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0" t="n"/>
      <c r="L339" s="10" t="n"/>
      <c r="M339" s="10" t="n"/>
      <c r="N339" s="10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0" t="n"/>
      <c r="L340" s="10" t="n"/>
      <c r="M340" s="10" t="n"/>
      <c r="N340" s="10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0" t="n"/>
      <c r="L341" s="10" t="n"/>
      <c r="M341" s="10" t="n"/>
      <c r="N341" s="10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0" t="n"/>
      <c r="L342" s="10" t="n"/>
      <c r="M342" s="10" t="n"/>
      <c r="N342" s="10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0" t="n"/>
      <c r="L343" s="10" t="n"/>
      <c r="M343" s="10" t="n"/>
      <c r="N343" s="10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0" t="n"/>
      <c r="L344" s="10" t="n"/>
      <c r="M344" s="10" t="n"/>
      <c r="N344" s="10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0" t="n"/>
      <c r="L345" s="10" t="n"/>
      <c r="M345" s="10" t="n"/>
      <c r="N345" s="10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0" t="n"/>
      <c r="L346" s="10" t="n"/>
      <c r="M346" s="10" t="n"/>
      <c r="N346" s="10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0" t="n"/>
      <c r="L347" s="10" t="n"/>
      <c r="M347" s="10" t="n"/>
      <c r="N347" s="10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0" t="n"/>
      <c r="L348" s="10" t="n"/>
      <c r="M348" s="10" t="n"/>
      <c r="N348" s="10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0" t="n"/>
      <c r="L349" s="10" t="n"/>
      <c r="M349" s="10" t="n"/>
      <c r="N349" s="10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0" t="n"/>
      <c r="L350" s="10" t="n"/>
      <c r="M350" s="10" t="n"/>
      <c r="N350" s="10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0" t="n"/>
      <c r="L351" s="10" t="n"/>
      <c r="M351" s="10" t="n"/>
      <c r="N351" s="10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0" t="n"/>
      <c r="L352" s="10" t="n"/>
      <c r="M352" s="10" t="n"/>
      <c r="N352" s="10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0" t="n"/>
      <c r="L353" s="10" t="n"/>
      <c r="M353" s="10" t="n"/>
      <c r="N353" s="10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0" t="n"/>
      <c r="L354" s="10" t="n"/>
      <c r="M354" s="10" t="n"/>
      <c r="N354" s="10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0" t="n"/>
      <c r="L355" s="10" t="n"/>
      <c r="M355" s="10" t="n"/>
      <c r="N355" s="10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0" t="n"/>
      <c r="L356" s="10" t="n"/>
      <c r="M356" s="10" t="n"/>
      <c r="N356" s="10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0" t="n"/>
      <c r="L357" s="10" t="n"/>
      <c r="M357" s="10" t="n"/>
      <c r="N357" s="10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0" t="n"/>
      <c r="L358" s="10" t="n"/>
      <c r="M358" s="10" t="n"/>
      <c r="N358" s="10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0" t="n"/>
      <c r="L359" s="10" t="n"/>
      <c r="M359" s="10" t="n"/>
      <c r="N359" s="10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0" t="n"/>
      <c r="L360" s="10" t="n"/>
      <c r="M360" s="10" t="n"/>
      <c r="N360" s="10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0" t="n"/>
      <c r="L361" s="10" t="n"/>
      <c r="M361" s="10" t="n"/>
      <c r="N361" s="10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0" t="n"/>
      <c r="L362" s="10" t="n"/>
      <c r="M362" s="10" t="n"/>
      <c r="N362" s="10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0" t="n"/>
      <c r="L363" s="10" t="n"/>
      <c r="M363" s="10" t="n"/>
      <c r="N363" s="10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0" t="n"/>
      <c r="L364" s="10" t="n"/>
      <c r="M364" s="10" t="n"/>
      <c r="N364" s="10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0" t="n"/>
      <c r="L365" s="10" t="n"/>
      <c r="M365" s="10" t="n"/>
      <c r="N365" s="10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0" t="n"/>
      <c r="L366" s="10" t="n"/>
      <c r="M366" s="10" t="n"/>
      <c r="N366" s="10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0" t="n"/>
      <c r="L367" s="10" t="n"/>
      <c r="M367" s="10" t="n"/>
      <c r="N367" s="10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0" t="n"/>
      <c r="L368" s="10" t="n"/>
      <c r="M368" s="10" t="n"/>
      <c r="N368" s="10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0" t="n"/>
      <c r="L369" s="10" t="n"/>
      <c r="M369" s="10" t="n"/>
      <c r="N369" s="10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0" t="n"/>
      <c r="L370" s="10" t="n"/>
      <c r="M370" s="10" t="n"/>
      <c r="N370" s="10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0" t="n"/>
      <c r="L371" s="10" t="n"/>
      <c r="M371" s="10" t="n"/>
      <c r="N371" s="10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0" t="n"/>
      <c r="L372" s="10" t="n"/>
      <c r="M372" s="10" t="n"/>
      <c r="N372" s="10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0" t="n"/>
      <c r="L373" s="10" t="n"/>
      <c r="M373" s="10" t="n"/>
      <c r="N373" s="10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0" t="n"/>
      <c r="L374" s="10" t="n"/>
      <c r="M374" s="10" t="n"/>
      <c r="N374" s="10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0" t="n"/>
      <c r="L375" s="10" t="n"/>
      <c r="M375" s="10" t="n"/>
      <c r="N375" s="10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0" t="n"/>
      <c r="L376" s="10" t="n"/>
      <c r="M376" s="10" t="n"/>
      <c r="N376" s="10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0" t="n"/>
      <c r="L377" s="10" t="n"/>
      <c r="M377" s="10" t="n"/>
      <c r="N377" s="10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0" t="n"/>
      <c r="L378" s="10" t="n"/>
      <c r="M378" s="10" t="n"/>
      <c r="N378" s="10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0" t="n"/>
      <c r="L379" s="10" t="n"/>
      <c r="M379" s="10" t="n"/>
      <c r="N379" s="10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0" t="n"/>
      <c r="L380" s="10" t="n"/>
      <c r="M380" s="10" t="n"/>
      <c r="N380" s="10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0" t="n"/>
      <c r="L381" s="10" t="n"/>
      <c r="M381" s="10" t="n"/>
      <c r="N381" s="10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0" t="n"/>
      <c r="L382" s="10" t="n"/>
      <c r="M382" s="10" t="n"/>
      <c r="N382" s="10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0" t="n"/>
      <c r="L383" s="10" t="n"/>
      <c r="M383" s="10" t="n"/>
      <c r="N383" s="10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0" t="n"/>
      <c r="L384" s="10" t="n"/>
      <c r="M384" s="10" t="n"/>
      <c r="N384" s="10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0" t="n"/>
      <c r="L385" s="10" t="n"/>
      <c r="M385" s="10" t="n"/>
      <c r="N385" s="10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0" t="n"/>
      <c r="L386" s="10" t="n"/>
      <c r="M386" s="10" t="n"/>
      <c r="N386" s="10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0" t="n"/>
      <c r="L387" s="10" t="n"/>
      <c r="M387" s="10" t="n"/>
      <c r="N387" s="10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0" t="n"/>
      <c r="L388" s="10" t="n"/>
      <c r="M388" s="10" t="n"/>
      <c r="N388" s="10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0" t="n"/>
      <c r="L389" s="10" t="n"/>
      <c r="M389" s="10" t="n"/>
      <c r="N389" s="10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0" t="n"/>
      <c r="L390" s="10" t="n"/>
      <c r="M390" s="10" t="n"/>
      <c r="N390" s="10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0" t="n"/>
      <c r="L391" s="10" t="n"/>
      <c r="M391" s="10" t="n"/>
      <c r="N391" s="10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0" t="n"/>
      <c r="L392" s="10" t="n"/>
      <c r="M392" s="10" t="n"/>
      <c r="N392" s="10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0" t="n"/>
      <c r="L393" s="10" t="n"/>
      <c r="M393" s="10" t="n"/>
      <c r="N393" s="10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0" t="n"/>
      <c r="L394" s="10" t="n"/>
      <c r="M394" s="10" t="n"/>
      <c r="N394" s="10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0" t="n"/>
      <c r="L395" s="10" t="n"/>
      <c r="M395" s="10" t="n"/>
      <c r="N395" s="10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0" t="n"/>
      <c r="L396" s="10" t="n"/>
      <c r="M396" s="10" t="n"/>
      <c r="N396" s="10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0" t="n"/>
      <c r="L397" s="10" t="n"/>
      <c r="M397" s="10" t="n"/>
      <c r="N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>
      <c r="K951" s="10" t="n"/>
      <c r="L951" s="10" t="n"/>
      <c r="M951" s="10" t="n"/>
      <c r="N951" s="10" t="n"/>
    </row>
    <row r="952">
      <c r="K952" s="10" t="n"/>
      <c r="L952" s="10" t="n"/>
      <c r="M952" s="10" t="n"/>
      <c r="N952" s="10" t="n"/>
    </row>
    <row r="953">
      <c r="K953" s="10" t="n"/>
      <c r="L953" s="10" t="n"/>
      <c r="M953" s="10" t="n"/>
      <c r="N953" s="10" t="n"/>
    </row>
    <row r="954">
      <c r="K954" s="10" t="n"/>
      <c r="L954" s="10" t="n"/>
      <c r="M954" s="10" t="n"/>
      <c r="N954" s="10" t="n"/>
    </row>
    <row r="955">
      <c r="K955" s="10" t="n"/>
      <c r="L955" s="10" t="n"/>
      <c r="M955" s="10" t="n"/>
      <c r="N955" s="10" t="n"/>
    </row>
    <row r="956">
      <c r="K956" s="10" t="n"/>
      <c r="L956" s="10" t="n"/>
      <c r="M956" s="10" t="n"/>
      <c r="N956" s="10" t="n"/>
    </row>
    <row r="957">
      <c r="K957" s="10" t="n"/>
      <c r="L957" s="10" t="n"/>
      <c r="M957" s="10" t="n"/>
      <c r="N957" s="10" t="n"/>
    </row>
  </sheetData>
  <mergeCells count="37">
    <mergeCell ref="A39:E39"/>
    <mergeCell ref="A23:D23"/>
    <mergeCell ref="A24:E24"/>
    <mergeCell ref="A142:E142"/>
    <mergeCell ref="A140:D140"/>
    <mergeCell ref="A1:E1"/>
    <mergeCell ref="A94:E94"/>
    <mergeCell ref="A152:D152"/>
    <mergeCell ref="A170:D170"/>
    <mergeCell ref="A93:D93"/>
    <mergeCell ref="A153:E153"/>
    <mergeCell ref="A87:E87"/>
    <mergeCell ref="A172:E172"/>
    <mergeCell ref="A183:E183"/>
    <mergeCell ref="A25:E25"/>
    <mergeCell ref="A182:D182"/>
    <mergeCell ref="A66:E66"/>
    <mergeCell ref="A3:E3"/>
    <mergeCell ref="A154:E154"/>
    <mergeCell ref="A95:E95"/>
    <mergeCell ref="A2:E2"/>
    <mergeCell ref="A86:E86"/>
    <mergeCell ref="A160:E160"/>
    <mergeCell ref="A65:D65"/>
    <mergeCell ref="A141:E141"/>
    <mergeCell ref="A159:E159"/>
    <mergeCell ref="A184:E184"/>
    <mergeCell ref="A37:D37"/>
    <mergeCell ref="A131:E131"/>
    <mergeCell ref="A189:D189"/>
    <mergeCell ref="A158:D158"/>
    <mergeCell ref="A38:E38"/>
    <mergeCell ref="A171:E171"/>
    <mergeCell ref="A129:D129"/>
    <mergeCell ref="A85:D85"/>
    <mergeCell ref="A67:E67"/>
    <mergeCell ref="A130:E1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cols>
    <col width="27" customWidth="1" style="552" min="1" max="1"/>
    <col width="10.86" customWidth="1" style="552" min="2" max="2"/>
  </cols>
  <sheetData>
    <row r="1">
      <c r="A1" s="567" t="inlineStr">
        <is>
          <t>Invasion Universe</t>
        </is>
      </c>
      <c r="B1" s="555" t="n"/>
    </row>
    <row r="2">
      <c r="A2" s="12" t="inlineStr">
        <is>
          <t>Название</t>
        </is>
      </c>
      <c r="B2" s="14" t="inlineStr">
        <is>
          <t>кол-во</t>
        </is>
      </c>
    </row>
    <row r="3">
      <c r="A3" s="72" t="inlineStr">
        <is>
          <t>Кофиза (химия для кофе машины)</t>
        </is>
      </c>
      <c r="B3" s="33" t="n"/>
    </row>
    <row r="4">
      <c r="A4" s="72" t="inlineStr">
        <is>
          <t>Изотоник</t>
        </is>
      </c>
      <c r="B4" s="33" t="n"/>
    </row>
    <row r="5">
      <c r="A5" s="72" t="inlineStr">
        <is>
          <t>Гуарана</t>
        </is>
      </c>
      <c r="B5" s="33" t="n"/>
    </row>
    <row r="6">
      <c r="A6" s="72" t="inlineStr">
        <is>
          <t>Таурин</t>
        </is>
      </c>
      <c r="B6" s="33" t="n"/>
    </row>
    <row r="7">
      <c r="A7" s="72" t="inlineStr">
        <is>
          <t>Молочная кислота 80%</t>
        </is>
      </c>
      <c r="B7" s="33" t="n"/>
    </row>
    <row r="8">
      <c r="A8" s="72" t="inlineStr">
        <is>
          <t>Ароматизаторы пищевые</t>
        </is>
      </c>
      <c r="B8" s="33" t="n"/>
    </row>
    <row r="9">
      <c r="A9" s="72" t="inlineStr">
        <is>
          <t>Баллоны Co2</t>
        </is>
      </c>
      <c r="B9" s="33" t="n"/>
    </row>
    <row r="10">
      <c r="A10" s="72" t="inlineStr">
        <is>
          <t>Баллоны N2O</t>
        </is>
      </c>
      <c r="B10" s="33" t="n"/>
    </row>
    <row r="11">
      <c r="A11" s="72" t="inlineStr">
        <is>
          <t>Взрывная карамель</t>
        </is>
      </c>
      <c r="B11" s="33" t="n"/>
    </row>
    <row r="12">
      <c r="A12" s="72" t="inlineStr">
        <is>
          <t>Мармелад Единорог</t>
        </is>
      </c>
      <c r="B12" s="33" t="n"/>
    </row>
    <row r="13">
      <c r="A13" s="72" t="inlineStr">
        <is>
          <t>Агар-агар</t>
        </is>
      </c>
      <c r="B13" s="33" t="n"/>
    </row>
    <row r="14">
      <c r="A14" s="72" t="inlineStr">
        <is>
          <t>Ксантановая камедь</t>
        </is>
      </c>
      <c r="B14" s="33" t="n"/>
    </row>
    <row r="15">
      <c r="A15" s="72" t="inlineStr">
        <is>
          <t>Капсулы желатиновые синие</t>
        </is>
      </c>
      <c r="B15" s="33" t="n"/>
    </row>
    <row r="16">
      <c r="A16" s="72" t="inlineStr">
        <is>
          <t>Подсвечники для чайников</t>
        </is>
      </c>
      <c r="B16" s="33" t="n"/>
    </row>
    <row r="17">
      <c r="A17" s="72" t="n"/>
      <c r="B17" s="33" t="n"/>
    </row>
    <row r="18">
      <c r="A18" s="72" t="n"/>
      <c r="B18" s="33" t="n"/>
    </row>
    <row r="19">
      <c r="A19" s="72" t="n"/>
      <c r="B19" s="33" t="n"/>
    </row>
    <row r="20">
      <c r="A20" s="72" t="n"/>
      <c r="B20" s="44" t="n"/>
    </row>
    <row r="21">
      <c r="A21" s="72" t="n"/>
      <c r="B21" s="44" t="n"/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43"/>
  <sheetViews>
    <sheetView workbookViewId="0">
      <selection activeCell="A1" sqref="A1"/>
    </sheetView>
  </sheetViews>
  <sheetFormatPr baseColWidth="8" defaultColWidth="14.43" defaultRowHeight="15" customHeight="1"/>
  <cols>
    <col width="17.29" customWidth="1" style="552" min="1" max="1"/>
    <col width="6.29" customWidth="1" style="552" min="2" max="2"/>
    <col width="27.71" customWidth="1" style="552" min="3" max="3"/>
    <col width="6.14" customWidth="1" style="552" min="4" max="4"/>
    <col width="18.29" customWidth="1" style="552" min="5" max="5"/>
    <col width="6.43" customWidth="1" style="552" min="6" max="6"/>
    <col width="11.71" customWidth="1" style="552" min="7" max="7"/>
    <col width="6.57" customWidth="1" style="552" min="8" max="8"/>
    <col width="16.43" customWidth="1" style="552" min="9" max="9"/>
    <col width="6.29" customWidth="1" style="552" min="10" max="10"/>
    <col width="9.710000000000001" customWidth="1" style="552" min="11" max="11"/>
    <col width="6" customWidth="1" style="552" min="12" max="12"/>
  </cols>
  <sheetData>
    <row r="1">
      <c r="A1" s="568" t="inlineStr">
        <is>
          <t>Invasion Universe</t>
        </is>
      </c>
      <c r="B1" s="554" t="n"/>
      <c r="C1" s="554" t="n"/>
      <c r="D1" s="554" t="n"/>
      <c r="E1" s="554" t="n"/>
      <c r="F1" s="554" t="n"/>
      <c r="G1" s="554" t="n"/>
      <c r="H1" s="554" t="n"/>
      <c r="I1" s="554" t="n"/>
      <c r="J1" s="554" t="n"/>
      <c r="K1" s="554" t="n"/>
      <c r="L1" s="555" t="n"/>
    </row>
    <row r="2">
      <c r="A2" s="20" t="inlineStr">
        <is>
          <t>Фрукты</t>
        </is>
      </c>
      <c r="B2" s="20" t="inlineStr">
        <is>
          <t>кол-во</t>
        </is>
      </c>
      <c r="C2" s="20" t="inlineStr">
        <is>
          <t>Ягоды</t>
        </is>
      </c>
      <c r="D2" s="20" t="inlineStr">
        <is>
          <t>кол-во</t>
        </is>
      </c>
      <c r="E2" s="20" t="inlineStr">
        <is>
          <t>Ягоды с/м</t>
        </is>
      </c>
      <c r="F2" s="20" t="inlineStr">
        <is>
          <t>кол-во</t>
        </is>
      </c>
      <c r="G2" s="20" t="inlineStr">
        <is>
          <t>Травы</t>
        </is>
      </c>
      <c r="H2" s="20" t="inlineStr">
        <is>
          <t>кол-во</t>
        </is>
      </c>
      <c r="I2" s="20" t="inlineStr">
        <is>
          <t>Корнеплоды</t>
        </is>
      </c>
      <c r="J2" s="20" t="inlineStr">
        <is>
          <t>кол-во</t>
        </is>
      </c>
      <c r="K2" s="20" t="inlineStr">
        <is>
          <t>Пюрэ</t>
        </is>
      </c>
      <c r="L2" s="20" t="inlineStr">
        <is>
          <t>кол-во</t>
        </is>
      </c>
    </row>
    <row r="3">
      <c r="A3" s="411" t="inlineStr">
        <is>
          <t>Апельсин</t>
        </is>
      </c>
      <c r="B3" s="29" t="n"/>
      <c r="C3" s="31" t="inlineStr">
        <is>
          <t>Малина свежая</t>
        </is>
      </c>
      <c r="D3" s="44" t="n"/>
      <c r="E3" s="411" t="inlineStr">
        <is>
          <t>Клубника с/м</t>
        </is>
      </c>
      <c r="F3" s="44" t="n"/>
      <c r="G3" s="411" t="inlineStr">
        <is>
          <t>Розмарин</t>
        </is>
      </c>
      <c r="H3" s="44" t="n"/>
      <c r="I3" s="411" t="inlineStr">
        <is>
          <t>Корень имбиря</t>
        </is>
      </c>
      <c r="J3" s="44" t="n"/>
      <c r="K3" s="58" t="inlineStr">
        <is>
          <t>Малина</t>
        </is>
      </c>
      <c r="L3" s="44" t="n"/>
    </row>
    <row r="4">
      <c r="A4" s="411" t="inlineStr">
        <is>
          <t>Лимон</t>
        </is>
      </c>
      <c r="B4" s="45" t="n"/>
      <c r="C4" s="29" t="n"/>
      <c r="D4" s="44" t="n"/>
      <c r="E4" s="411" t="inlineStr">
        <is>
          <t>Малина с/м</t>
        </is>
      </c>
      <c r="F4" s="44" t="n"/>
      <c r="G4" s="411" t="inlineStr">
        <is>
          <t>Мята</t>
        </is>
      </c>
      <c r="H4" s="44" t="n"/>
      <c r="I4" s="58" t="inlineStr">
        <is>
          <t>Огурцы</t>
        </is>
      </c>
      <c r="J4" s="44" t="n"/>
      <c r="K4" s="58" t="inlineStr">
        <is>
          <t>Маракуйя</t>
        </is>
      </c>
      <c r="L4" s="44" t="n"/>
    </row>
    <row r="5">
      <c r="A5" s="411" t="inlineStr">
        <is>
          <t>Лайм</t>
        </is>
      </c>
      <c r="B5" s="29" t="n"/>
      <c r="C5" s="50" t="n"/>
      <c r="D5" s="44" t="n"/>
      <c r="E5" s="411" t="inlineStr">
        <is>
          <t>Клюква с/м</t>
        </is>
      </c>
      <c r="F5" s="44" t="n"/>
      <c r="G5" s="411" t="inlineStr">
        <is>
          <t>Базилик</t>
        </is>
      </c>
      <c r="H5" s="44" t="n"/>
      <c r="I5" s="58" t="inlineStr">
        <is>
          <t>Лемонграсс</t>
        </is>
      </c>
      <c r="J5" s="44" t="n"/>
      <c r="K5" s="58" t="inlineStr">
        <is>
          <t>Мандарин</t>
        </is>
      </c>
      <c r="L5" s="44" t="n"/>
    </row>
    <row r="6">
      <c r="A6" s="411" t="inlineStr">
        <is>
          <t>Грейпфрут</t>
        </is>
      </c>
      <c r="B6" s="44" t="n"/>
      <c r="C6" s="44" t="n"/>
      <c r="D6" s="44" t="n"/>
      <c r="E6" s="411" t="inlineStr">
        <is>
          <t>Вишня с/м</t>
        </is>
      </c>
      <c r="F6" s="44" t="n"/>
      <c r="G6" s="411" t="inlineStr">
        <is>
          <t>Лист Бамбука</t>
        </is>
      </c>
      <c r="H6" s="44" t="n"/>
      <c r="I6" s="411" t="n"/>
      <c r="J6" s="44" t="n"/>
      <c r="K6" s="58" t="inlineStr">
        <is>
          <t>Ананас</t>
        </is>
      </c>
      <c r="L6" s="44" t="n"/>
    </row>
    <row r="7">
      <c r="A7" s="411" t="inlineStr">
        <is>
          <t>Яблоки ( зелёные )</t>
        </is>
      </c>
      <c r="B7" s="44" t="n"/>
      <c r="C7" s="44" t="n"/>
      <c r="D7" s="44" t="n"/>
      <c r="E7" s="44" t="n"/>
      <c r="F7" s="44" t="n"/>
      <c r="G7" s="411" t="inlineStr">
        <is>
          <t>Шалфей</t>
        </is>
      </c>
      <c r="H7" s="44" t="n"/>
      <c r="I7" s="411" t="n"/>
      <c r="J7" s="44" t="n"/>
      <c r="K7" s="58" t="inlineStr">
        <is>
          <t>Манго</t>
        </is>
      </c>
      <c r="L7" s="44" t="n"/>
    </row>
    <row r="8">
      <c r="A8" s="411" t="inlineStr">
        <is>
          <t>Маракуйя</t>
        </is>
      </c>
      <c r="B8" s="44" t="n"/>
      <c r="C8" s="44" t="n"/>
      <c r="D8" s="44" t="n"/>
      <c r="E8" s="44" t="n"/>
      <c r="F8" s="44" t="n"/>
      <c r="G8" s="411" t="inlineStr">
        <is>
          <t>Лист лайма</t>
        </is>
      </c>
      <c r="H8" s="44" t="n"/>
      <c r="I8" s="411" t="n"/>
      <c r="J8" s="44" t="n"/>
      <c r="K8" s="58" t="inlineStr">
        <is>
          <t>Юдзу</t>
        </is>
      </c>
      <c r="L8" s="44" t="n"/>
    </row>
    <row r="9">
      <c r="A9" s="411" t="inlineStr">
        <is>
          <t>Банан</t>
        </is>
      </c>
      <c r="B9" s="44" t="n"/>
      <c r="C9" s="44" t="n"/>
      <c r="D9" s="44" t="n"/>
      <c r="E9" s="44" t="n"/>
      <c r="F9" s="44" t="n"/>
      <c r="G9" s="411" t="n"/>
      <c r="H9" s="44" t="n"/>
      <c r="I9" s="44" t="n"/>
      <c r="J9" s="44" t="n"/>
      <c r="K9" s="58" t="inlineStr">
        <is>
          <t>Кокос</t>
        </is>
      </c>
      <c r="L9" s="44" t="n"/>
    </row>
    <row r="10">
      <c r="A10" s="411" t="inlineStr">
        <is>
          <t>Ананас</t>
        </is>
      </c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58" t="inlineStr">
        <is>
          <t>Банан</t>
        </is>
      </c>
      <c r="L10" s="44" t="n"/>
    </row>
    <row r="11">
      <c r="A11" s="411" t="inlineStr">
        <is>
          <t>Киви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58" t="inlineStr">
        <is>
          <t>Абрикос</t>
        </is>
      </c>
      <c r="L11" s="44" t="n"/>
    </row>
    <row r="12">
      <c r="A12" s="411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58" t="n"/>
      <c r="L12" s="44" t="n"/>
    </row>
    <row r="13">
      <c r="A13" s="92" t="inlineStr">
        <is>
          <t>Сыпучка</t>
        </is>
      </c>
      <c r="B13" s="92" t="inlineStr">
        <is>
          <t>кол-во</t>
        </is>
      </c>
      <c r="C13" s="92" t="inlineStr">
        <is>
          <t>Сладкое</t>
        </is>
      </c>
      <c r="D13" s="92" t="inlineStr">
        <is>
          <t>кол-во</t>
        </is>
      </c>
      <c r="E13" s="92" t="inlineStr">
        <is>
          <t>Разное</t>
        </is>
      </c>
      <c r="F13" s="92" t="inlineStr">
        <is>
          <t>кол-во</t>
        </is>
      </c>
      <c r="G13" s="92" t="inlineStr">
        <is>
          <t>Сиропы</t>
        </is>
      </c>
      <c r="H13" s="92" t="inlineStr">
        <is>
          <t>кол-во</t>
        </is>
      </c>
      <c r="I13" s="92" t="inlineStr">
        <is>
          <t>Молочка</t>
        </is>
      </c>
      <c r="J13" s="92" t="inlineStr">
        <is>
          <t>кол-во</t>
        </is>
      </c>
      <c r="K13" s="92" t="inlineStr">
        <is>
          <t>Лёд</t>
        </is>
      </c>
      <c r="L13" s="92" t="inlineStr">
        <is>
          <t>кол-во</t>
        </is>
      </c>
    </row>
    <row r="14">
      <c r="A14" s="58" t="inlineStr">
        <is>
          <t>Сахар песок ( услада )</t>
        </is>
      </c>
      <c r="B14" s="76" t="n"/>
      <c r="C14" s="58" t="inlineStr">
        <is>
          <t>Нутела</t>
        </is>
      </c>
      <c r="D14" s="76" t="n"/>
      <c r="E14" s="58" t="inlineStr">
        <is>
          <t>Сок Rich 1л ( в асс. )</t>
        </is>
      </c>
      <c r="F14" s="76" t="n"/>
      <c r="G14" s="58" t="inlineStr">
        <is>
          <t>Малина</t>
        </is>
      </c>
      <c r="H14" s="76" t="n"/>
      <c r="I14" s="58" t="inlineStr">
        <is>
          <t>Молоко 3,2%</t>
        </is>
      </c>
      <c r="J14" s="76" t="n"/>
      <c r="K14" s="58" t="inlineStr">
        <is>
          <t>Кусок</t>
        </is>
      </c>
      <c r="L14" s="76" t="n"/>
    </row>
    <row r="15">
      <c r="A15" s="58" t="inlineStr">
        <is>
          <t>Сахар ванильный</t>
        </is>
      </c>
      <c r="B15" s="76" t="n"/>
      <c r="C15" s="58" t="inlineStr">
        <is>
          <t>Маршмелоу ( большой )</t>
        </is>
      </c>
      <c r="D15" s="76" t="n"/>
      <c r="E15" s="58" t="inlineStr">
        <is>
          <t>Мёд цветочный</t>
        </is>
      </c>
      <c r="F15" s="76" t="n"/>
      <c r="G15" s="58" t="inlineStr">
        <is>
          <t>Клубника</t>
        </is>
      </c>
      <c r="H15" s="76" t="n"/>
      <c r="I15" s="58" t="inlineStr">
        <is>
          <t>Сливки 33%</t>
        </is>
      </c>
      <c r="J15" s="76" t="n"/>
      <c r="K15" s="58" t="inlineStr">
        <is>
          <t>Глыба 4х12</t>
        </is>
      </c>
      <c r="L15" s="76" t="n"/>
    </row>
    <row r="16">
      <c r="A16" s="58" t="inlineStr">
        <is>
          <t>Розовый перец</t>
        </is>
      </c>
      <c r="B16" s="76" t="n"/>
      <c r="C16" s="58" t="inlineStr">
        <is>
          <t>Маршмелоу ( маленький )</t>
        </is>
      </c>
      <c r="D16" s="242" t="n"/>
      <c r="E16" s="323" t="inlineStr">
        <is>
          <t>Бабл дропс</t>
        </is>
      </c>
      <c r="F16" s="242" t="n"/>
      <c r="G16" s="58" t="inlineStr">
        <is>
          <t>Банан</t>
        </is>
      </c>
      <c r="H16" s="76" t="n"/>
      <c r="I16" s="58" t="inlineStr">
        <is>
          <t>Сливки 11%</t>
        </is>
      </c>
      <c r="J16" s="76" t="n"/>
      <c r="K16" s="58" t="inlineStr">
        <is>
          <t>Глыба 5х6</t>
        </is>
      </c>
      <c r="L16" s="76" t="n"/>
    </row>
    <row r="17">
      <c r="A17" s="58" t="inlineStr">
        <is>
          <t>Арахис</t>
        </is>
      </c>
      <c r="B17" s="76" t="n"/>
      <c r="C17" s="58" t="inlineStr">
        <is>
          <t>Oreo</t>
        </is>
      </c>
      <c r="D17" s="242" t="n"/>
      <c r="E17" s="58" t="inlineStr">
        <is>
          <t>Шоколад ( галеты )</t>
        </is>
      </c>
      <c r="F17" s="242" t="n"/>
      <c r="G17" s="58" t="inlineStr">
        <is>
          <t>Шоколад</t>
        </is>
      </c>
      <c r="H17" s="76" t="n"/>
      <c r="I17" s="58" t="inlineStr">
        <is>
          <t>Миндальное молоко</t>
        </is>
      </c>
      <c r="J17" s="76" t="n"/>
      <c r="K17" s="58" t="inlineStr">
        <is>
          <t>Краш</t>
        </is>
      </c>
      <c r="L17" s="76" t="n"/>
    </row>
    <row r="18">
      <c r="A18" s="58" t="inlineStr">
        <is>
          <t>Корица молотая</t>
        </is>
      </c>
      <c r="B18" s="76" t="n"/>
      <c r="C18" s="58" t="inlineStr">
        <is>
          <t>Крем бальзамический</t>
        </is>
      </c>
      <c r="D18" s="242" t="n"/>
      <c r="E18" s="58" t="inlineStr">
        <is>
          <t xml:space="preserve">Табаско </t>
        </is>
      </c>
      <c r="F18" s="242" t="n"/>
      <c r="G18" s="58" t="inlineStr">
        <is>
          <t>Ваниль</t>
        </is>
      </c>
      <c r="H18" s="76" t="n"/>
      <c r="I18" s="58" t="inlineStr">
        <is>
          <t>Соевое молоко</t>
        </is>
      </c>
      <c r="J18" s="76" t="n"/>
      <c r="K18" s="58" t="inlineStr">
        <is>
          <t>Лёд соломка</t>
        </is>
      </c>
      <c r="L18" s="76" t="n"/>
    </row>
    <row r="19">
      <c r="A19" s="58" t="inlineStr">
        <is>
          <t>Корица палочки</t>
        </is>
      </c>
      <c r="B19" s="76" t="n"/>
      <c r="C19" s="323" t="inlineStr">
        <is>
          <t>Ириски</t>
        </is>
      </c>
      <c r="D19" s="242" t="n"/>
      <c r="E19" s="58" t="inlineStr">
        <is>
          <t>Ворчестер</t>
        </is>
      </c>
      <c r="F19" s="242" t="n"/>
      <c r="G19" s="58" t="inlineStr">
        <is>
          <t>Мандарин</t>
        </is>
      </c>
      <c r="H19" s="76" t="n"/>
      <c r="I19" s="58" t="inlineStr">
        <is>
          <t>Банановое молоко</t>
        </is>
      </c>
      <c r="J19" s="76" t="n"/>
      <c r="K19" s="58" t="inlineStr">
        <is>
          <t>Сферы</t>
        </is>
      </c>
      <c r="L19" s="76" t="n"/>
    </row>
    <row r="20">
      <c r="A20" s="58" t="inlineStr">
        <is>
          <t>Бадьян</t>
        </is>
      </c>
      <c r="B20" s="76" t="n"/>
      <c r="C20" s="58" t="inlineStr">
        <is>
          <t>Манго ( сушенный )</t>
        </is>
      </c>
      <c r="D20" s="76" t="n"/>
      <c r="E20" s="58" t="inlineStr">
        <is>
          <t>Вишня мараскино</t>
        </is>
      </c>
      <c r="F20" s="76" t="n"/>
      <c r="G20" s="58" t="inlineStr">
        <is>
          <t>Маракуйя</t>
        </is>
      </c>
      <c r="H20" s="76" t="n"/>
      <c r="I20" s="58" t="inlineStr">
        <is>
          <t>Кокосовое молоко</t>
        </is>
      </c>
      <c r="J20" s="76" t="n"/>
      <c r="K20" s="76" t="n"/>
      <c r="L20" s="76" t="n"/>
    </row>
    <row r="21">
      <c r="A21" s="58" t="inlineStr">
        <is>
          <t>Какао</t>
        </is>
      </c>
      <c r="B21" s="76" t="n"/>
      <c r="C21" s="58" t="inlineStr">
        <is>
          <t>Топинг ( шоколад )</t>
        </is>
      </c>
      <c r="D21" s="76" t="n"/>
      <c r="E21" s="58" t="inlineStr">
        <is>
          <t>Чипсы банан</t>
        </is>
      </c>
      <c r="F21" s="76" t="n"/>
      <c r="G21" s="58" t="inlineStr">
        <is>
          <t>Карамель</t>
        </is>
      </c>
      <c r="H21" s="76" t="n"/>
      <c r="I21" s="58" t="inlineStr">
        <is>
          <t>Безлактозное молоко</t>
        </is>
      </c>
      <c r="J21" s="76" t="n"/>
      <c r="K21" s="76" t="n"/>
      <c r="L21" s="76" t="n"/>
    </row>
    <row r="22">
      <c r="A22" s="58" t="inlineStr">
        <is>
          <t>Анчан</t>
        </is>
      </c>
      <c r="B22" s="76" t="n"/>
      <c r="C22" s="58" t="inlineStr">
        <is>
          <t>Единороги ( дедпул )</t>
        </is>
      </c>
      <c r="D22" s="76" t="n"/>
      <c r="E22" s="323" t="inlineStr">
        <is>
          <t>Гидролат Роза</t>
        </is>
      </c>
      <c r="F22" s="76" t="n"/>
      <c r="G22" s="58" t="inlineStr">
        <is>
          <t>Гренадин</t>
        </is>
      </c>
      <c r="H22" s="76" t="n"/>
      <c r="I22" s="58" t="inlineStr">
        <is>
          <t xml:space="preserve">Мороженное </t>
        </is>
      </c>
      <c r="J22" s="76" t="n"/>
      <c r="K22" s="76" t="n"/>
      <c r="L22" s="76" t="n"/>
    </row>
    <row r="23">
      <c r="A23" s="58" t="inlineStr">
        <is>
          <t>Каркадэ</t>
        </is>
      </c>
      <c r="B23" s="76" t="n"/>
      <c r="C23" s="58" t="inlineStr">
        <is>
          <t>Печенья с предсказаниями ( дедпул )</t>
        </is>
      </c>
      <c r="D23" s="76" t="n"/>
      <c r="E23" s="323" t="inlineStr">
        <is>
          <t>Гидролат Лаванда</t>
        </is>
      </c>
      <c r="F23" s="76" t="n"/>
      <c r="G23" s="58" t="inlineStr">
        <is>
          <t>Попкорн</t>
        </is>
      </c>
      <c r="H23" s="76" t="n"/>
      <c r="I23" s="58" t="inlineStr">
        <is>
          <t>Сливки 11%</t>
        </is>
      </c>
      <c r="J23" s="76" t="n"/>
      <c r="K23" s="76" t="n"/>
      <c r="L23" s="76" t="n"/>
    </row>
    <row r="24">
      <c r="A24" s="58" t="n"/>
      <c r="B24" s="76" t="n"/>
      <c r="C24" s="76" t="n"/>
      <c r="D24" s="76" t="n"/>
      <c r="E24" s="323" t="inlineStr">
        <is>
          <t>Биттер орех</t>
        </is>
      </c>
      <c r="F24" s="76" t="n"/>
      <c r="G24" s="58" t="inlineStr">
        <is>
          <t>Кокос</t>
        </is>
      </c>
      <c r="H24" s="76" t="n"/>
      <c r="I24" s="58" t="inlineStr">
        <is>
          <t>Взбитые сливки</t>
        </is>
      </c>
      <c r="J24" s="76" t="n"/>
      <c r="K24" s="76" t="n"/>
      <c r="L24" s="76" t="n"/>
    </row>
    <row r="25">
      <c r="A25" s="58" t="n"/>
      <c r="B25" s="76" t="n"/>
      <c r="C25" s="76" t="n"/>
      <c r="D25" s="76" t="n"/>
      <c r="E25" s="323" t="inlineStr">
        <is>
          <t>Биттер спайси</t>
        </is>
      </c>
      <c r="F25" s="76" t="n"/>
      <c r="G25" s="58" t="inlineStr">
        <is>
          <t>Лаванда</t>
        </is>
      </c>
      <c r="H25" s="76" t="n"/>
      <c r="I25" s="58" t="inlineStr">
        <is>
          <t>Йогурт "чудо" 0,75</t>
        </is>
      </c>
      <c r="J25" s="76" t="n"/>
      <c r="K25" s="76" t="n"/>
      <c r="L25" s="76" t="n"/>
    </row>
    <row r="26">
      <c r="A26" s="58" t="n"/>
      <c r="B26" s="76" t="n"/>
      <c r="C26" s="76" t="n"/>
      <c r="D26" s="76" t="n"/>
      <c r="E26" s="58" t="inlineStr">
        <is>
          <t>Биттер клюква</t>
        </is>
      </c>
      <c r="F26" s="76" t="n"/>
      <c r="G26" s="58" t="inlineStr">
        <is>
          <t>Блюкурасао</t>
        </is>
      </c>
      <c r="H26" s="76" t="n"/>
      <c r="I26" s="76" t="n"/>
      <c r="J26" s="76" t="n"/>
      <c r="K26" s="76" t="n"/>
      <c r="L26" s="76" t="n"/>
    </row>
    <row r="27">
      <c r="A27" s="58" t="n"/>
      <c r="B27" s="76" t="n"/>
      <c r="C27" s="76" t="n"/>
      <c r="D27" s="76" t="n"/>
      <c r="E27" s="323" t="inlineStr">
        <is>
          <t>Личи ( конс. )</t>
        </is>
      </c>
      <c r="F27" s="76" t="n"/>
      <c r="G27" s="58" t="inlineStr">
        <is>
          <t>Миндаль</t>
        </is>
      </c>
      <c r="H27" s="76" t="n"/>
      <c r="I27" s="76" t="n"/>
      <c r="J27" s="76" t="n"/>
      <c r="K27" s="76" t="n"/>
      <c r="L27" s="76" t="n"/>
    </row>
    <row r="28">
      <c r="A28" s="58" t="n"/>
      <c r="B28" s="76" t="n"/>
      <c r="C28" s="76" t="n"/>
      <c r="D28" s="76" t="n"/>
      <c r="E28" s="323" t="inlineStr">
        <is>
          <t>Бамбук ( конс. )</t>
        </is>
      </c>
      <c r="F28" s="76" t="n"/>
      <c r="G28" s="58" t="inlineStr">
        <is>
          <t>Ч.Смородина</t>
        </is>
      </c>
      <c r="H28" s="76" t="n"/>
      <c r="I28" s="76" t="n"/>
      <c r="J28" s="76" t="n"/>
      <c r="K28" s="76" t="n"/>
      <c r="L28" s="76" t="n"/>
    </row>
    <row r="29">
      <c r="A29" s="58" t="n"/>
      <c r="B29" s="44" t="n"/>
      <c r="C29" s="44" t="n"/>
      <c r="D29" s="44" t="n"/>
      <c r="E29" s="323" t="inlineStr">
        <is>
          <t>Морс клюква</t>
        </is>
      </c>
      <c r="F29" s="44" t="n"/>
      <c r="G29" s="411" t="inlineStr">
        <is>
          <t>Персик</t>
        </is>
      </c>
      <c r="H29" s="44" t="n"/>
      <c r="I29" s="44" t="n"/>
      <c r="J29" s="44" t="n"/>
      <c r="K29" s="44" t="n"/>
      <c r="L29" s="44" t="n"/>
    </row>
    <row r="30">
      <c r="A30" s="411" t="n"/>
      <c r="B30" s="44" t="n"/>
      <c r="C30" s="44" t="n"/>
      <c r="D30" s="44" t="n"/>
      <c r="E30" s="323" t="inlineStr">
        <is>
          <t>Холс</t>
        </is>
      </c>
      <c r="F30" s="44" t="n"/>
      <c r="G30" s="411" t="n"/>
      <c r="H30" s="44" t="n"/>
      <c r="I30" s="44" t="n"/>
      <c r="J30" s="44" t="n"/>
      <c r="K30" s="44" t="n"/>
      <c r="L30" s="44" t="n"/>
    </row>
    <row r="31">
      <c r="A31" s="58" t="n"/>
      <c r="B31" s="44" t="n"/>
      <c r="C31" s="44" t="n"/>
      <c r="D31" s="44" t="n"/>
      <c r="E31" s="323" t="inlineStr">
        <is>
          <t>Чернослив</t>
        </is>
      </c>
      <c r="F31" s="44" t="n"/>
      <c r="G31" s="411" t="n"/>
      <c r="H31" s="44" t="n"/>
      <c r="I31" s="44" t="n"/>
      <c r="J31" s="44" t="n"/>
      <c r="K31" s="44" t="n"/>
      <c r="L31" s="44" t="n"/>
    </row>
    <row r="32">
      <c r="A32" s="411" t="n"/>
      <c r="B32" s="44" t="n"/>
      <c r="C32" s="44" t="n"/>
      <c r="D32" s="44" t="n"/>
      <c r="E32" s="58" t="inlineStr">
        <is>
          <t>Шитаки</t>
        </is>
      </c>
      <c r="F32" s="44" t="n"/>
      <c r="G32" s="411" t="n"/>
      <c r="H32" s="44" t="n"/>
      <c r="I32" s="44" t="n"/>
      <c r="J32" s="44" t="n"/>
      <c r="K32" s="44" t="n"/>
      <c r="L32" s="44" t="n"/>
    </row>
    <row r="33">
      <c r="A33" s="411" t="n"/>
      <c r="B33" s="44" t="n"/>
      <c r="C33" s="44" t="n"/>
      <c r="D33" s="44" t="n"/>
      <c r="E33" s="58" t="inlineStr">
        <is>
          <t>Электрические цветы</t>
        </is>
      </c>
      <c r="F33" s="44" t="n"/>
      <c r="G33" s="411" t="n"/>
      <c r="H33" s="44" t="n"/>
      <c r="I33" s="44" t="n"/>
      <c r="J33" s="44" t="n"/>
      <c r="K33" s="44" t="n"/>
      <c r="L33" s="44" t="n"/>
    </row>
    <row r="34">
      <c r="A34" s="411" t="n"/>
      <c r="B34" s="44" t="n"/>
      <c r="C34" s="44" t="n"/>
      <c r="D34" s="44" t="n"/>
      <c r="E34" s="323" t="inlineStr">
        <is>
          <t>Таурин</t>
        </is>
      </c>
      <c r="F34" s="44" t="n"/>
      <c r="G34" s="44" t="n"/>
      <c r="H34" s="44" t="n"/>
      <c r="I34" s="44" t="n"/>
      <c r="J34" s="44" t="n"/>
      <c r="K34" s="44" t="n"/>
      <c r="L34" s="44" t="n"/>
    </row>
    <row r="35">
      <c r="A35" s="411" t="n"/>
      <c r="B35" s="44" t="n"/>
      <c r="C35" s="44" t="n"/>
      <c r="D35" s="44" t="n"/>
      <c r="E35" s="323" t="inlineStr">
        <is>
          <t>Гуарана</t>
        </is>
      </c>
      <c r="F35" s="44" t="n"/>
      <c r="G35" s="44" t="n"/>
      <c r="H35" s="44" t="n"/>
      <c r="I35" s="44" t="n"/>
      <c r="J35" s="44" t="n"/>
      <c r="K35" s="44" t="n"/>
      <c r="L35" s="44" t="n"/>
    </row>
    <row r="36">
      <c r="A36" s="44" t="n"/>
      <c r="B36" s="44" t="n"/>
      <c r="C36" s="44" t="n"/>
      <c r="D36" s="44" t="n"/>
      <c r="E36" s="91" t="inlineStr">
        <is>
          <t>Киви ( концентрат )</t>
        </is>
      </c>
      <c r="F36" s="44" t="n"/>
      <c r="G36" s="44" t="n"/>
      <c r="H36" s="44" t="n"/>
      <c r="I36" s="44" t="n"/>
      <c r="J36" s="44" t="n"/>
      <c r="K36" s="44" t="n"/>
      <c r="L36" s="44" t="n"/>
    </row>
    <row r="37">
      <c r="A37" s="92" t="inlineStr">
        <is>
          <t>Красители</t>
        </is>
      </c>
      <c r="B37" s="92" t="inlineStr">
        <is>
          <t>кол-во</t>
        </is>
      </c>
      <c r="C37" s="92" t="inlineStr">
        <is>
          <t>Гарниры от Наиры</t>
        </is>
      </c>
      <c r="D37" s="92" t="inlineStr">
        <is>
          <t>кол-во</t>
        </is>
      </c>
      <c r="E37" s="92" t="inlineStr">
        <is>
          <t>Сок Rich 1л ( в асс. )</t>
        </is>
      </c>
      <c r="F37" s="92" t="inlineStr">
        <is>
          <t>кол-во</t>
        </is>
      </c>
      <c r="G37" s="92" t="n"/>
      <c r="H37" s="92" t="n"/>
      <c r="I37" s="92" t="n"/>
      <c r="J37" s="92" t="n"/>
      <c r="K37" s="92" t="n"/>
      <c r="L37" s="92" t="n"/>
    </row>
    <row r="38">
      <c r="A38" s="58" t="inlineStr">
        <is>
          <t>синий</t>
        </is>
      </c>
      <c r="B38" s="76" t="n"/>
      <c r="C38" s="58" t="inlineStr">
        <is>
          <t>Бомбы ( крутой Сэм )</t>
        </is>
      </c>
      <c r="D38" s="76" t="n"/>
      <c r="E38" s="58" t="inlineStr">
        <is>
          <t>вишня</t>
        </is>
      </c>
      <c r="F38" s="76" t="n"/>
      <c r="G38" s="44" t="n"/>
      <c r="H38" s="44" t="n"/>
      <c r="I38" s="44" t="n"/>
      <c r="J38" s="44" t="n"/>
      <c r="K38" s="44" t="n"/>
      <c r="L38" s="44" t="n"/>
    </row>
    <row r="39">
      <c r="A39" s="58" t="inlineStr">
        <is>
          <t>красный</t>
        </is>
      </c>
      <c r="B39" s="76" t="n"/>
      <c r="C39" s="58" t="inlineStr">
        <is>
          <t>Шокотрансфер ( Макс Пэйн )</t>
        </is>
      </c>
      <c r="D39" s="76" t="n"/>
      <c r="E39" s="58" t="inlineStr">
        <is>
          <t>красный апельсин</t>
        </is>
      </c>
      <c r="F39" s="76" t="n"/>
      <c r="G39" s="44" t="n"/>
      <c r="H39" s="44" t="n"/>
      <c r="I39" s="44" t="n"/>
      <c r="J39" s="44" t="n"/>
      <c r="K39" s="44" t="n"/>
      <c r="L39" s="44" t="n"/>
    </row>
    <row r="40">
      <c r="A40" s="58" t="inlineStr">
        <is>
          <t>розовый</t>
        </is>
      </c>
      <c r="B40" s="76" t="n"/>
      <c r="C40" s="58" t="inlineStr">
        <is>
          <t>Милк-шейки ( скупы )</t>
        </is>
      </c>
      <c r="D40" s="76" t="n"/>
      <c r="E40" s="58" t="inlineStr">
        <is>
          <t>банан</t>
        </is>
      </c>
      <c r="F40" s="76" t="n"/>
      <c r="G40" s="44" t="n"/>
      <c r="H40" s="44" t="n"/>
      <c r="I40" s="44" t="n"/>
      <c r="J40" s="44" t="n"/>
      <c r="K40" s="44" t="n"/>
      <c r="L40" s="44" t="n"/>
    </row>
    <row r="41">
      <c r="A41" s="58" t="inlineStr">
        <is>
          <t>чёрный</t>
        </is>
      </c>
      <c r="B41" s="76" t="n"/>
      <c r="C41" s="58" t="inlineStr">
        <is>
          <t xml:space="preserve">Принт на сахарной бумаге </t>
        </is>
      </c>
      <c r="D41" s="76" t="n"/>
      <c r="E41" s="58" t="inlineStr">
        <is>
          <t>морс клюква</t>
        </is>
      </c>
      <c r="F41" s="76" t="n"/>
      <c r="G41" s="44" t="n"/>
      <c r="H41" s="44" t="n"/>
      <c r="I41" s="44" t="n"/>
      <c r="J41" s="44" t="n"/>
      <c r="K41" s="44" t="n"/>
      <c r="L41" s="44" t="n"/>
    </row>
    <row r="42">
      <c r="A42" s="58" t="inlineStr">
        <is>
          <t>зелёный</t>
        </is>
      </c>
      <c r="B42" s="76" t="n"/>
      <c r="C42" s="76" t="n"/>
      <c r="D42" s="76" t="n"/>
      <c r="E42" s="76" t="n"/>
      <c r="F42" s="76" t="n"/>
      <c r="G42" s="44" t="n"/>
      <c r="H42" s="44" t="n"/>
      <c r="I42" s="44" t="n"/>
      <c r="J42" s="44" t="n"/>
      <c r="K42" s="44" t="n"/>
      <c r="L42" s="44" t="n"/>
    </row>
    <row r="43">
      <c r="A43" s="58" t="inlineStr">
        <is>
          <t>фиолетовый</t>
        </is>
      </c>
      <c r="B43" s="76" t="n"/>
      <c r="C43" s="76" t="n"/>
      <c r="D43" s="76" t="n"/>
      <c r="E43" s="76" t="n"/>
      <c r="F43" s="76" t="n"/>
      <c r="G43" s="44" t="n"/>
      <c r="H43" s="44" t="n"/>
      <c r="I43" s="44" t="n"/>
      <c r="J43" s="44" t="n"/>
      <c r="K43" s="44" t="n"/>
      <c r="L43" s="44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46"/>
  <sheetViews>
    <sheetView workbookViewId="0">
      <selection activeCell="A1" sqref="A1"/>
    </sheetView>
  </sheetViews>
  <sheetFormatPr baseColWidth="8" defaultColWidth="14.43" defaultRowHeight="15" customHeight="1"/>
  <cols>
    <col width="24.57" customWidth="1" style="552" min="1" max="1"/>
    <col width="6.29" customWidth="1" style="552" min="2" max="2"/>
  </cols>
  <sheetData>
    <row r="1">
      <c r="A1" s="567" t="inlineStr">
        <is>
          <t>Invasion Universe</t>
        </is>
      </c>
      <c r="B1" s="555" t="n"/>
      <c r="C1" s="64" t="n"/>
    </row>
    <row r="2">
      <c r="A2" s="12" t="inlineStr">
        <is>
          <t>Название</t>
        </is>
      </c>
      <c r="B2" s="14" t="inlineStr">
        <is>
          <t>кол-во</t>
        </is>
      </c>
    </row>
    <row r="3">
      <c r="A3" s="72" t="inlineStr">
        <is>
          <t>Вафельное полотенце</t>
        </is>
      </c>
      <c r="B3" s="44" t="n"/>
    </row>
    <row r="4">
      <c r="A4" s="72" t="inlineStr">
        <is>
          <t>Салфетки для бара</t>
        </is>
      </c>
      <c r="B4" s="44" t="n"/>
    </row>
    <row r="5">
      <c r="A5" s="72" t="inlineStr">
        <is>
          <t>Перчатки</t>
        </is>
      </c>
      <c r="B5" s="44" t="n"/>
    </row>
    <row r="6">
      <c r="A6" s="72" t="inlineStr">
        <is>
          <t>Шпажки</t>
        </is>
      </c>
      <c r="B6" s="44" t="n"/>
    </row>
    <row r="7">
      <c r="A7" s="72" t="inlineStr">
        <is>
          <t>Шпажки железные</t>
        </is>
      </c>
      <c r="B7" s="44" t="n"/>
    </row>
    <row r="8">
      <c r="A8" s="72" t="inlineStr">
        <is>
          <t>Микрофибра</t>
        </is>
      </c>
      <c r="B8" s="44" t="n"/>
    </row>
    <row r="9">
      <c r="A9" s="72" t="inlineStr">
        <is>
          <t>Губки/тряпки</t>
        </is>
      </c>
      <c r="B9" s="44" t="n"/>
    </row>
    <row r="10">
      <c r="A10" s="72" t="inlineStr">
        <is>
          <t>Средство для стёкл</t>
        </is>
      </c>
      <c r="B10" s="44" t="n"/>
    </row>
    <row r="11">
      <c r="A11" s="72" t="inlineStr">
        <is>
          <t>Маркер ( чёрный )</t>
        </is>
      </c>
      <c r="B11" s="44" t="n"/>
    </row>
    <row r="12">
      <c r="A12" s="72" t="inlineStr">
        <is>
          <t>Вакуумные пакеты 1,5л</t>
        </is>
      </c>
      <c r="B12" s="44" t="n"/>
    </row>
    <row r="13">
      <c r="A13" s="72" t="inlineStr">
        <is>
          <t>Вакуумные пакеты 0,5л</t>
        </is>
      </c>
      <c r="B13" s="44" t="n"/>
    </row>
    <row r="14">
      <c r="A14" s="72" t="inlineStr">
        <is>
          <t>Вакуумные пакеты 0,25л</t>
        </is>
      </c>
      <c r="B14" s="44" t="n"/>
    </row>
    <row r="15">
      <c r="A15" s="72" t="inlineStr">
        <is>
          <t>Прозрачные трубочки</t>
        </is>
      </c>
      <c r="B15" s="44" t="n"/>
    </row>
    <row r="16">
      <c r="A16" s="72" t="inlineStr">
        <is>
          <t xml:space="preserve">Кандурин </t>
        </is>
      </c>
      <c r="B16" s="44" t="n"/>
    </row>
    <row r="17">
      <c r="A17" s="72" t="inlineStr">
        <is>
          <t>Пещевой краситель</t>
        </is>
      </c>
      <c r="B17" s="44" t="n"/>
    </row>
    <row r="18">
      <c r="A18" s="72" t="inlineStr">
        <is>
          <t>Одноразовые стаканчики</t>
        </is>
      </c>
      <c r="B18" s="44" t="n"/>
    </row>
    <row r="19">
      <c r="A19" s="72" t="inlineStr">
        <is>
          <t>Крышки к стаканчикам</t>
        </is>
      </c>
      <c r="B19" s="44" t="n"/>
      <c r="H19" s="74" t="n"/>
    </row>
    <row r="20">
      <c r="A20" s="72" t="inlineStr">
        <is>
          <t>Баллоны СО2/крем</t>
        </is>
      </c>
      <c r="B20" s="44" t="n"/>
      <c r="H20" s="74" t="n"/>
    </row>
    <row r="21">
      <c r="A21" s="72" t="inlineStr">
        <is>
          <t>Баллоны с газом для зажигалок</t>
        </is>
      </c>
      <c r="B21" s="44" t="n"/>
      <c r="H21" s="74" t="n"/>
    </row>
    <row r="22">
      <c r="A22" s="462" t="n"/>
      <c r="H22" s="74" t="n"/>
    </row>
    <row r="23">
      <c r="A23" s="462" t="n"/>
      <c r="H23" s="74" t="n"/>
    </row>
    <row r="24">
      <c r="A24" s="462" t="n"/>
      <c r="H24" s="74" t="n"/>
    </row>
    <row r="25">
      <c r="A25" s="462" t="n"/>
      <c r="H25" s="74" t="n"/>
    </row>
    <row r="26">
      <c r="A26" s="462" t="n"/>
      <c r="H26" s="74" t="n"/>
    </row>
    <row r="27">
      <c r="A27" s="462" t="n"/>
      <c r="H27" s="74" t="n"/>
    </row>
    <row r="28">
      <c r="A28" s="462" t="n"/>
      <c r="H28" s="74" t="n"/>
    </row>
    <row r="29">
      <c r="A29" s="462" t="n"/>
      <c r="H29" s="74" t="n"/>
    </row>
    <row r="30">
      <c r="H30" s="74" t="n"/>
    </row>
    <row r="31">
      <c r="H31" s="74" t="n"/>
    </row>
    <row r="32">
      <c r="H32" s="74" t="n"/>
    </row>
    <row r="33">
      <c r="H33" s="74" t="n"/>
    </row>
    <row r="34">
      <c r="H34" s="74" t="n"/>
    </row>
    <row r="35">
      <c r="H35" s="74" t="n"/>
    </row>
    <row r="36">
      <c r="H36" s="74" t="n"/>
    </row>
    <row r="37">
      <c r="H37" s="74" t="n"/>
    </row>
    <row r="38">
      <c r="H38" s="74" t="n"/>
    </row>
    <row r="39">
      <c r="H39" s="74" t="n"/>
    </row>
    <row r="40">
      <c r="H40" s="74" t="n"/>
    </row>
    <row r="41">
      <c r="H41" s="74" t="n"/>
    </row>
    <row r="42">
      <c r="H42" s="74" t="n"/>
    </row>
    <row r="43">
      <c r="H43" s="74" t="n"/>
    </row>
    <row r="44">
      <c r="H44" s="74" t="n"/>
    </row>
    <row r="45">
      <c r="H45" s="74" t="n"/>
    </row>
    <row r="46">
      <c r="H46" s="74" t="n"/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90"/>
  <sheetViews>
    <sheetView workbookViewId="0">
      <selection activeCell="A1" sqref="A1"/>
    </sheetView>
  </sheetViews>
  <sheetFormatPr baseColWidth="8" defaultColWidth="14.43" defaultRowHeight="15" customHeight="1"/>
  <cols>
    <col width="2.71" customWidth="1" style="552" min="1" max="1"/>
    <col width="22.86" customWidth="1" style="552" min="2" max="2"/>
    <col width="10.14" customWidth="1" style="552" min="3" max="3"/>
    <col width="3.14" customWidth="1" style="552" min="4" max="34"/>
    <col width="6.29" customWidth="1" style="552" min="35" max="35"/>
    <col width="7.71" customWidth="1" style="552" min="36" max="36"/>
    <col width="9.289999999999999" customWidth="1" style="552" min="37" max="37"/>
    <col width="12.57" customWidth="1" style="552" min="38" max="38"/>
    <col width="12.71" customWidth="1" style="552" min="39" max="39"/>
  </cols>
  <sheetData>
    <row r="1" ht="25.5" customHeight="1" s="552">
      <c r="A1" s="86" t="inlineStr">
        <is>
          <t>График сотрудников подразделение __________________________________________ месяц __________________</t>
        </is>
      </c>
      <c r="AI1" s="87" t="n"/>
      <c r="AJ1" s="87" t="n"/>
      <c r="AK1" s="87" t="n"/>
    </row>
    <row r="2" ht="15" customHeight="1" s="552">
      <c r="AG2" s="88" t="n"/>
    </row>
    <row r="3" ht="19.5" customHeight="1" s="552">
      <c r="A3" s="89" t="n"/>
      <c r="B3" s="89" t="n"/>
      <c r="C3" s="89" t="n"/>
      <c r="D3" s="90" t="n">
        <v>1</v>
      </c>
      <c r="E3" s="90">
        <f>D3+1</f>
        <v/>
      </c>
      <c r="F3" s="90">
        <f>E3+1</f>
        <v/>
      </c>
      <c r="G3" s="90">
        <f>F3+1</f>
        <v/>
      </c>
      <c r="H3" s="90">
        <f>G3+1</f>
        <v/>
      </c>
      <c r="I3" s="90">
        <f>H3+1</f>
        <v/>
      </c>
      <c r="J3" s="90">
        <f>I3+1</f>
        <v/>
      </c>
      <c r="K3" s="90">
        <f>J3+1</f>
        <v/>
      </c>
      <c r="L3" s="90">
        <f>K3+1</f>
        <v/>
      </c>
      <c r="M3" s="90">
        <f>L3+1</f>
        <v/>
      </c>
      <c r="N3" s="90">
        <f>M3+1</f>
        <v/>
      </c>
      <c r="O3" s="90">
        <f>N3+1</f>
        <v/>
      </c>
      <c r="P3" s="90">
        <f>O3+1</f>
        <v/>
      </c>
      <c r="Q3" s="90">
        <f>P3+1</f>
        <v/>
      </c>
      <c r="R3" s="90">
        <f>Q3+1</f>
        <v/>
      </c>
      <c r="S3" s="90">
        <f>R3+1</f>
        <v/>
      </c>
      <c r="T3" s="90">
        <f>S3+1</f>
        <v/>
      </c>
      <c r="U3" s="90">
        <f>T3+1</f>
        <v/>
      </c>
      <c r="V3" s="90">
        <f>U3+1</f>
        <v/>
      </c>
      <c r="W3" s="90">
        <f>V3+1</f>
        <v/>
      </c>
      <c r="X3" s="90">
        <f>W3+1</f>
        <v/>
      </c>
      <c r="Y3" s="90">
        <f>X3+1</f>
        <v/>
      </c>
      <c r="Z3" s="90">
        <f>Y3+1</f>
        <v/>
      </c>
      <c r="AA3" s="90">
        <f>Z3+1</f>
        <v/>
      </c>
      <c r="AB3" s="90">
        <f>AA3+1</f>
        <v/>
      </c>
      <c r="AC3" s="90">
        <f>AB3+1</f>
        <v/>
      </c>
      <c r="AD3" s="90">
        <f>AC3+1</f>
        <v/>
      </c>
      <c r="AE3" s="90">
        <f>AD3+1</f>
        <v/>
      </c>
      <c r="AF3" s="90" t="n">
        <v>29</v>
      </c>
      <c r="AG3" s="90" t="n">
        <v>30</v>
      </c>
      <c r="AH3" s="90" t="n">
        <v>31</v>
      </c>
      <c r="AI3" s="569" t="inlineStr">
        <is>
          <t xml:space="preserve">итого часов </t>
        </is>
      </c>
      <c r="AJ3" s="570" t="inlineStr">
        <is>
          <t xml:space="preserve">ставка </t>
        </is>
      </c>
      <c r="AK3" s="570" t="inlineStr">
        <is>
          <t xml:space="preserve">рублей </t>
        </is>
      </c>
      <c r="AL3" s="571" t="inlineStr">
        <is>
          <t>график</t>
        </is>
      </c>
      <c r="AM3" s="98" t="n"/>
    </row>
    <row r="4" ht="19.5" customHeight="1" s="552">
      <c r="A4" s="100" t="inlineStr">
        <is>
          <t>№</t>
        </is>
      </c>
      <c r="B4" s="100" t="inlineStr">
        <is>
          <t>ФИО</t>
        </is>
      </c>
      <c r="C4" s="101" t="inlineStr">
        <is>
          <t xml:space="preserve">должность </t>
        </is>
      </c>
      <c r="D4" s="102" t="inlineStr">
        <is>
          <t>пн</t>
        </is>
      </c>
      <c r="E4" s="102" t="inlineStr">
        <is>
          <t>вт</t>
        </is>
      </c>
      <c r="F4" s="102" t="inlineStr">
        <is>
          <t>ср</t>
        </is>
      </c>
      <c r="G4" s="102" t="inlineStr">
        <is>
          <t>чт</t>
        </is>
      </c>
      <c r="H4" s="102" t="inlineStr">
        <is>
          <t>пт</t>
        </is>
      </c>
      <c r="I4" s="102" t="inlineStr">
        <is>
          <t>сб</t>
        </is>
      </c>
      <c r="J4" s="103" t="inlineStr">
        <is>
          <t>вс</t>
        </is>
      </c>
      <c r="K4" s="103" t="inlineStr">
        <is>
          <t>пн</t>
        </is>
      </c>
      <c r="L4" s="102" t="inlineStr">
        <is>
          <t>вт</t>
        </is>
      </c>
      <c r="M4" s="102" t="inlineStr">
        <is>
          <t>ср</t>
        </is>
      </c>
      <c r="N4" s="102" t="inlineStr">
        <is>
          <t>чт</t>
        </is>
      </c>
      <c r="O4" s="102" t="inlineStr">
        <is>
          <t>пт</t>
        </is>
      </c>
      <c r="P4" s="102" t="inlineStr">
        <is>
          <t>сб</t>
        </is>
      </c>
      <c r="Q4" s="103" t="inlineStr">
        <is>
          <t>вс</t>
        </is>
      </c>
      <c r="R4" s="103" t="inlineStr">
        <is>
          <t>пн</t>
        </is>
      </c>
      <c r="S4" s="102" t="inlineStr">
        <is>
          <t>вт</t>
        </is>
      </c>
      <c r="T4" s="102" t="inlineStr">
        <is>
          <t>ср</t>
        </is>
      </c>
      <c r="U4" s="102" t="inlineStr">
        <is>
          <t>чт</t>
        </is>
      </c>
      <c r="V4" s="102" t="inlineStr">
        <is>
          <t>пт</t>
        </is>
      </c>
      <c r="W4" s="102" t="inlineStr">
        <is>
          <t>сб</t>
        </is>
      </c>
      <c r="X4" s="103" t="inlineStr">
        <is>
          <t>вс</t>
        </is>
      </c>
      <c r="Y4" s="103" t="inlineStr">
        <is>
          <t>пн</t>
        </is>
      </c>
      <c r="Z4" s="102" t="inlineStr">
        <is>
          <t>вт</t>
        </is>
      </c>
      <c r="AA4" s="102" t="inlineStr">
        <is>
          <t xml:space="preserve">ср </t>
        </is>
      </c>
      <c r="AB4" s="104" t="inlineStr">
        <is>
          <t>чт</t>
        </is>
      </c>
      <c r="AC4" s="102" t="inlineStr">
        <is>
          <t>пт</t>
        </is>
      </c>
      <c r="AD4" s="102" t="inlineStr">
        <is>
          <t>сб</t>
        </is>
      </c>
      <c r="AE4" s="103" t="inlineStr">
        <is>
          <t xml:space="preserve">вс </t>
        </is>
      </c>
      <c r="AF4" s="103" t="inlineStr">
        <is>
          <t>пн</t>
        </is>
      </c>
      <c r="AG4" s="102" t="inlineStr">
        <is>
          <t>вт</t>
        </is>
      </c>
      <c r="AH4" s="102" t="inlineStr">
        <is>
          <t>ср</t>
        </is>
      </c>
      <c r="AI4" s="572" t="n"/>
      <c r="AJ4" s="572" t="n"/>
      <c r="AK4" s="572" t="n"/>
      <c r="AL4" s="572" t="n"/>
      <c r="AM4" s="98" t="n"/>
    </row>
    <row r="5" ht="19.5" customHeight="1" s="552">
      <c r="A5" s="100" t="n">
        <v>1</v>
      </c>
      <c r="B5" s="101" t="inlineStr">
        <is>
          <t xml:space="preserve">Проджект Менеджер </t>
        </is>
      </c>
      <c r="C5" s="101" t="inlineStr">
        <is>
          <t xml:space="preserve">Менеджер </t>
        </is>
      </c>
      <c r="D5" s="107" t="n"/>
      <c r="E5" s="109" t="n">
        <v>10</v>
      </c>
      <c r="F5" s="109" t="n">
        <v>10</v>
      </c>
      <c r="G5" s="109" t="n">
        <v>10</v>
      </c>
      <c r="H5" s="109" t="n">
        <v>10</v>
      </c>
      <c r="I5" s="109" t="n">
        <v>10</v>
      </c>
      <c r="J5" s="107" t="n"/>
      <c r="K5" s="107" t="n"/>
      <c r="L5" s="109" t="n">
        <v>10</v>
      </c>
      <c r="M5" s="109" t="n">
        <v>10</v>
      </c>
      <c r="N5" s="109" t="n">
        <v>10</v>
      </c>
      <c r="O5" s="109" t="n">
        <v>10</v>
      </c>
      <c r="P5" s="109" t="n">
        <v>10</v>
      </c>
      <c r="Q5" s="107" t="n"/>
      <c r="R5" s="107" t="n"/>
      <c r="S5" s="109" t="n">
        <v>10</v>
      </c>
      <c r="T5" s="109" t="n">
        <v>10</v>
      </c>
      <c r="U5" s="109" t="n">
        <v>10</v>
      </c>
      <c r="V5" s="109" t="n">
        <v>10</v>
      </c>
      <c r="W5" s="109" t="n">
        <v>10</v>
      </c>
      <c r="X5" s="107" t="n"/>
      <c r="Y5" s="107" t="n"/>
      <c r="Z5" s="109" t="n">
        <v>10</v>
      </c>
      <c r="AA5" s="109" t="n">
        <v>10</v>
      </c>
      <c r="AB5" s="109" t="n">
        <v>10</v>
      </c>
      <c r="AC5" s="109" t="n">
        <v>10</v>
      </c>
      <c r="AD5" s="109" t="n">
        <v>10</v>
      </c>
      <c r="AE5" s="107" t="n"/>
      <c r="AF5" s="107" t="n"/>
      <c r="AG5" s="107" t="n">
        <v>10</v>
      </c>
      <c r="AH5" s="109" t="n">
        <v>10</v>
      </c>
      <c r="AI5" s="111">
        <f>D5+E5+F5+G5+H5+I5+J5+K5+L5+M5+N5+O5+P5+Q5+R5+S5+T5+U5+V5+W5+X5+Y5+Z5+AA5+AB5+AC5+AD5+AE5+AF5+AG5+AH5</f>
        <v/>
      </c>
      <c r="AJ5" s="111" t="n"/>
      <c r="AK5" s="109">
        <f>AI5*AJ5</f>
        <v/>
      </c>
      <c r="AL5" s="107" t="inlineStr">
        <is>
          <t>14:00-00:00</t>
        </is>
      </c>
      <c r="AM5" s="98" t="n"/>
    </row>
    <row r="6" ht="19.5" customHeight="1" s="552">
      <c r="A6" s="100" t="n">
        <v>2</v>
      </c>
      <c r="B6" s="101" t="inlineStr">
        <is>
          <t>Бармен 1</t>
        </is>
      </c>
      <c r="C6" s="101" t="inlineStr">
        <is>
          <t>Бармен</t>
        </is>
      </c>
      <c r="D6" s="107" t="n">
        <v>10</v>
      </c>
      <c r="E6" s="107" t="n">
        <v>10</v>
      </c>
      <c r="F6" s="107" t="n"/>
      <c r="G6" s="107" t="n"/>
      <c r="H6" s="109" t="n">
        <v>10</v>
      </c>
      <c r="I6" s="107" t="n">
        <v>10</v>
      </c>
      <c r="J6" s="107" t="n"/>
      <c r="K6" s="114" t="n">
        <v>10</v>
      </c>
      <c r="L6" s="107" t="n">
        <v>10</v>
      </c>
      <c r="M6" s="107" t="n">
        <v>10</v>
      </c>
      <c r="N6" s="107" t="n"/>
      <c r="O6" s="109" t="n"/>
      <c r="P6" s="107" t="n">
        <v>10</v>
      </c>
      <c r="Q6" s="107" t="n">
        <v>10</v>
      </c>
      <c r="R6" s="107" t="n"/>
      <c r="S6" s="107" t="n"/>
      <c r="T6" s="107" t="n">
        <v>10</v>
      </c>
      <c r="U6" s="109" t="n">
        <v>10</v>
      </c>
      <c r="V6" s="107" t="n"/>
      <c r="W6" s="107" t="n"/>
      <c r="X6" s="107" t="n">
        <v>10</v>
      </c>
      <c r="Y6" s="107" t="n">
        <v>10</v>
      </c>
      <c r="Z6" s="107" t="n"/>
      <c r="AA6" s="107" t="n"/>
      <c r="AB6" s="107" t="n">
        <v>10</v>
      </c>
      <c r="AC6" s="109" t="n">
        <v>10</v>
      </c>
      <c r="AD6" s="107" t="n"/>
      <c r="AE6" s="116" t="n">
        <v>10</v>
      </c>
      <c r="AF6" s="107" t="n">
        <v>10</v>
      </c>
      <c r="AG6" s="107" t="n">
        <v>10</v>
      </c>
      <c r="AH6" s="107" t="n"/>
      <c r="AI6" s="111">
        <f>SUM(D6:AH6)</f>
        <v/>
      </c>
      <c r="AJ6" s="117" t="n"/>
      <c r="AK6" s="109">
        <f>AI6*AJ6-AL6</f>
        <v/>
      </c>
      <c r="AL6" s="118" t="n"/>
      <c r="AM6" s="98" t="n"/>
    </row>
    <row r="7" ht="19.5" customHeight="1" s="552">
      <c r="A7" s="100" t="n">
        <v>3</v>
      </c>
      <c r="B7" s="101" t="inlineStr">
        <is>
          <t>Бармен 2</t>
        </is>
      </c>
      <c r="C7" s="101" t="inlineStr">
        <is>
          <t xml:space="preserve">Бармен </t>
        </is>
      </c>
      <c r="D7" s="109" t="n">
        <v>10</v>
      </c>
      <c r="E7" s="107" t="n">
        <v>10</v>
      </c>
      <c r="F7" s="107" t="n"/>
      <c r="G7" s="107" t="n"/>
      <c r="H7" s="107" t="n">
        <v>10</v>
      </c>
      <c r="I7" s="121" t="n">
        <v>10</v>
      </c>
      <c r="J7" s="114" t="n">
        <v>10</v>
      </c>
      <c r="K7" s="107" t="n"/>
      <c r="L7" s="107" t="n">
        <v>10</v>
      </c>
      <c r="M7" s="107" t="n">
        <v>10</v>
      </c>
      <c r="N7" s="109" t="n"/>
      <c r="O7" s="107" t="n"/>
      <c r="P7" s="107" t="n">
        <v>10</v>
      </c>
      <c r="Q7" s="109" t="n">
        <v>10</v>
      </c>
      <c r="R7" s="114" t="n">
        <v>10</v>
      </c>
      <c r="S7" s="107" t="n"/>
      <c r="T7" s="107" t="n">
        <v>10</v>
      </c>
      <c r="U7" s="107" t="n">
        <v>10</v>
      </c>
      <c r="V7" s="107" t="n"/>
      <c r="W7" s="107" t="n"/>
      <c r="X7" s="107" t="n">
        <v>10</v>
      </c>
      <c r="Y7" s="109" t="n">
        <v>10</v>
      </c>
      <c r="Z7" s="107" t="n"/>
      <c r="AA7" s="107" t="n"/>
      <c r="AB7" s="107" t="n">
        <v>10</v>
      </c>
      <c r="AC7" s="107" t="n">
        <v>10</v>
      </c>
      <c r="AD7" s="109" t="n"/>
      <c r="AE7" s="107" t="n"/>
      <c r="AF7" s="107" t="n">
        <v>10</v>
      </c>
      <c r="AG7" s="107" t="n">
        <v>10</v>
      </c>
      <c r="AH7" s="107" t="n"/>
      <c r="AI7" s="111">
        <f>SUM(D7:AH7)</f>
        <v/>
      </c>
      <c r="AJ7" s="117" t="n"/>
      <c r="AK7" s="109">
        <f>AI7*AJ7-AL7</f>
        <v/>
      </c>
      <c r="AL7" s="124" t="n"/>
      <c r="AM7" s="98" t="n"/>
    </row>
    <row r="8" ht="19.5" customHeight="1" s="552">
      <c r="A8" s="100" t="n">
        <v>4</v>
      </c>
      <c r="B8" s="101" t="inlineStr">
        <is>
          <t>Бармен 3</t>
        </is>
      </c>
      <c r="C8" s="101" t="inlineStr">
        <is>
          <t>Бармен</t>
        </is>
      </c>
      <c r="D8" s="114" t="n">
        <v>10</v>
      </c>
      <c r="E8" s="107" t="n"/>
      <c r="F8" s="107" t="n">
        <v>10</v>
      </c>
      <c r="G8" s="109" t="n">
        <v>10</v>
      </c>
      <c r="H8" s="107" t="n"/>
      <c r="I8" s="109" t="n"/>
      <c r="J8" s="107" t="n">
        <v>10</v>
      </c>
      <c r="K8" s="107" t="n">
        <v>10</v>
      </c>
      <c r="L8" s="107" t="n"/>
      <c r="M8" s="109" t="n"/>
      <c r="N8" s="107" t="n">
        <v>10</v>
      </c>
      <c r="O8" s="107" t="n">
        <v>10</v>
      </c>
      <c r="P8" s="109" t="n"/>
      <c r="Q8" s="114" t="n">
        <v>10</v>
      </c>
      <c r="R8" s="107" t="n">
        <v>10</v>
      </c>
      <c r="S8" s="109" t="n">
        <v>10</v>
      </c>
      <c r="T8" s="107" t="n"/>
      <c r="U8" s="109" t="n"/>
      <c r="V8" s="107" t="n">
        <v>10</v>
      </c>
      <c r="W8" s="109" t="n">
        <v>10</v>
      </c>
      <c r="X8" s="114" t="n">
        <v>10</v>
      </c>
      <c r="Y8" s="107" t="n"/>
      <c r="Z8" s="109" t="n">
        <v>10</v>
      </c>
      <c r="AA8" s="107" t="n">
        <v>10</v>
      </c>
      <c r="AB8" s="107" t="n"/>
      <c r="AC8" s="107" t="n"/>
      <c r="AD8" s="107" t="n">
        <v>10</v>
      </c>
      <c r="AE8" s="107" t="n">
        <v>10</v>
      </c>
      <c r="AF8" s="107" t="n"/>
      <c r="AG8" s="107" t="n"/>
      <c r="AH8" s="107" t="n">
        <v>10</v>
      </c>
      <c r="AI8" s="111">
        <f>SUM(D8:AH8)</f>
        <v/>
      </c>
      <c r="AJ8" s="117" t="n"/>
      <c r="AK8" s="109">
        <f>AI8*AJ8-AL8</f>
        <v/>
      </c>
      <c r="AL8" s="118" t="n"/>
      <c r="AM8" s="98" t="n"/>
    </row>
    <row r="9" ht="19.5" customHeight="1" s="552">
      <c r="A9" s="100" t="n">
        <v>5</v>
      </c>
      <c r="B9" s="101" t="inlineStr">
        <is>
          <t>Бармен 4</t>
        </is>
      </c>
      <c r="C9" s="101" t="inlineStr">
        <is>
          <t xml:space="preserve">Бариста </t>
        </is>
      </c>
      <c r="D9" s="107" t="n"/>
      <c r="E9" s="109" t="n"/>
      <c r="F9" s="107" t="n">
        <v>10</v>
      </c>
      <c r="G9" s="107" t="n">
        <v>10</v>
      </c>
      <c r="H9" s="109" t="n"/>
      <c r="I9" s="107" t="n"/>
      <c r="J9" s="107" t="n">
        <v>10</v>
      </c>
      <c r="K9" s="109" t="n">
        <v>10</v>
      </c>
      <c r="L9" s="107" t="n"/>
      <c r="M9" s="107" t="n"/>
      <c r="N9" s="107" t="n">
        <v>10</v>
      </c>
      <c r="O9" s="109" t="n">
        <v>10</v>
      </c>
      <c r="P9" s="107" t="n">
        <v>10</v>
      </c>
      <c r="Q9" s="107" t="n"/>
      <c r="R9" s="107" t="n">
        <v>10</v>
      </c>
      <c r="S9" s="107" t="n">
        <v>10</v>
      </c>
      <c r="T9" s="107" t="n"/>
      <c r="U9" s="107" t="n"/>
      <c r="V9" s="107" t="n">
        <v>10</v>
      </c>
      <c r="W9" s="107" t="n">
        <v>10</v>
      </c>
      <c r="X9" s="107" t="n"/>
      <c r="Y9" s="116" t="n">
        <v>10</v>
      </c>
      <c r="Z9" s="107" t="n">
        <v>10</v>
      </c>
      <c r="AA9" s="109" t="n">
        <v>10</v>
      </c>
      <c r="AB9" s="107" t="n"/>
      <c r="AC9" s="107" t="n"/>
      <c r="AD9" s="107" t="n">
        <v>10</v>
      </c>
      <c r="AE9" s="107" t="n">
        <v>10</v>
      </c>
      <c r="AF9" s="114" t="n">
        <v>10</v>
      </c>
      <c r="AG9" s="107" t="n"/>
      <c r="AH9" s="109" t="n">
        <v>10</v>
      </c>
      <c r="AI9" s="111">
        <f>SUM(D9:AH9)</f>
        <v/>
      </c>
      <c r="AJ9" s="117" t="n"/>
      <c r="AK9" s="109">
        <f>AI9*AJ9-AL9</f>
        <v/>
      </c>
      <c r="AL9" s="118" t="n"/>
      <c r="AM9" s="98" t="n"/>
    </row>
    <row r="10" ht="19.5" customHeight="1" s="552">
      <c r="A10" s="109" t="n"/>
      <c r="B10" s="131" t="n"/>
      <c r="C10" s="109" t="n"/>
      <c r="D10" s="109" t="n"/>
      <c r="E10" s="109" t="n"/>
      <c r="F10" s="109" t="n"/>
      <c r="G10" s="109" t="n"/>
      <c r="H10" s="109" t="n"/>
      <c r="I10" s="109" t="n"/>
      <c r="J10" s="109" t="n"/>
      <c r="K10" s="109" t="n"/>
      <c r="L10" s="109" t="n"/>
      <c r="M10" s="109" t="n"/>
      <c r="N10" s="109" t="n"/>
      <c r="O10" s="109" t="n"/>
      <c r="P10" s="109" t="n"/>
      <c r="Q10" s="109" t="n"/>
      <c r="R10" s="109" t="n"/>
      <c r="S10" s="109" t="n"/>
      <c r="T10" s="109" t="n"/>
      <c r="U10" s="109" t="n"/>
      <c r="V10" s="109" t="n"/>
      <c r="W10" s="109" t="n"/>
      <c r="X10" s="109" t="n"/>
      <c r="Y10" s="109" t="n"/>
      <c r="Z10" s="109" t="n"/>
      <c r="AA10" s="109" t="n"/>
      <c r="AB10" s="109" t="n"/>
      <c r="AC10" s="109" t="n"/>
      <c r="AD10" s="109" t="n"/>
      <c r="AE10" s="109" t="n"/>
      <c r="AF10" s="109" t="n"/>
      <c r="AG10" s="109" t="n"/>
      <c r="AH10" s="109" t="n"/>
      <c r="AI10" s="109" t="n"/>
      <c r="AJ10" s="109" t="n"/>
      <c r="AK10" s="109" t="n"/>
      <c r="AL10" s="118" t="n"/>
      <c r="AM10" s="98" t="n"/>
    </row>
    <row r="11" ht="19.5" customHeight="1" s="552">
      <c r="A11" s="109" t="n"/>
      <c r="B11" s="101" t="inlineStr">
        <is>
          <t xml:space="preserve">Проджект Менеджер </t>
        </is>
      </c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  <c r="AD11" s="109" t="n"/>
      <c r="AE11" s="109" t="n"/>
      <c r="AF11" s="109" t="n"/>
      <c r="AG11" s="109" t="n"/>
      <c r="AH11" s="109" t="n"/>
      <c r="AI11" s="109" t="n"/>
      <c r="AJ11" s="109" t="n"/>
      <c r="AK11" s="154" t="n"/>
      <c r="AL11" s="107" t="n"/>
      <c r="AM11" s="98" t="n"/>
    </row>
    <row r="12" ht="19.5" customHeight="1" s="552">
      <c r="A12" s="156" t="n"/>
      <c r="B12" s="157" t="n"/>
      <c r="C12" s="156" t="n"/>
      <c r="D12" s="159" t="n"/>
      <c r="E12" s="573" t="inlineStr">
        <is>
          <t xml:space="preserve">Доп. Смены </t>
        </is>
      </c>
      <c r="F12" s="574" t="n"/>
      <c r="G12" s="574" t="n"/>
      <c r="H12" s="574" t="n"/>
      <c r="I12" s="574" t="n"/>
      <c r="J12" s="574" t="n"/>
      <c r="K12" s="574" t="n"/>
      <c r="L12" s="574" t="n"/>
      <c r="M12" s="574" t="n"/>
      <c r="N12" s="575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6" t="n"/>
      <c r="Y12" s="156" t="n"/>
      <c r="Z12" s="156" t="n"/>
      <c r="AA12" s="156" t="n"/>
      <c r="AB12" s="156" t="n"/>
      <c r="AC12" s="156" t="n"/>
      <c r="AD12" s="156" t="n"/>
      <c r="AE12" s="156" t="n"/>
      <c r="AF12" s="156" t="n"/>
      <c r="AG12" s="156" t="n"/>
      <c r="AH12" s="156" t="n"/>
      <c r="AI12" s="156" t="n"/>
      <c r="AJ12" s="165" t="inlineStr">
        <is>
          <t xml:space="preserve">итого </t>
        </is>
      </c>
      <c r="AK12" s="167">
        <f>SUM(AK5:AK11)</f>
        <v/>
      </c>
      <c r="AL12" s="107" t="n"/>
      <c r="AM12" s="98" t="n"/>
    </row>
    <row r="13">
      <c r="AG13" s="88" t="n"/>
    </row>
    <row r="14">
      <c r="AG14" s="88" t="n"/>
    </row>
    <row r="15">
      <c r="AG15" s="88" t="n"/>
    </row>
    <row r="16">
      <c r="N16" s="169" t="n"/>
      <c r="O16" s="170" t="inlineStr">
        <is>
          <t>подпись руководителя __________________________</t>
        </is>
      </c>
      <c r="P16" s="169" t="n"/>
      <c r="Q16" s="169" t="n"/>
      <c r="R16" s="169" t="n"/>
      <c r="S16" s="169" t="n"/>
      <c r="T16" s="169" t="n"/>
      <c r="U16" s="169" t="n"/>
      <c r="V16" s="169" t="n"/>
      <c r="AG16" s="88" t="n"/>
    </row>
    <row r="17">
      <c r="AG17" s="88" t="n"/>
    </row>
    <row r="18" ht="15" customHeight="1" s="552">
      <c r="B18" s="88" t="inlineStr">
        <is>
          <t>ПРИМЕНЧАНИЯ</t>
        </is>
      </c>
      <c r="AG18" s="88" t="n"/>
    </row>
    <row r="19" ht="15" customHeight="1" s="552">
      <c r="B19" s="88" t="inlineStr">
        <is>
          <t>Желтым отмечены дни, когда Проджект менеджер отдыхает  выводим доп сотрудника с 14:00 до 00:00</t>
        </is>
      </c>
      <c r="AG19" s="88" t="n"/>
    </row>
    <row r="20" ht="15.75" customHeight="1" s="552">
      <c r="B20" s="88" t="inlineStr">
        <is>
          <t>Проджект менеджер работает 5/2 с 14:00 до 00:00</t>
        </is>
      </c>
      <c r="AG20" s="88" t="n"/>
    </row>
    <row r="21" ht="15.75" customHeight="1" s="552">
      <c r="AG21" s="88" t="n"/>
    </row>
    <row r="22" ht="15.75" customHeight="1" s="552">
      <c r="AG22" s="88" t="n"/>
    </row>
    <row r="23" ht="15.75" customHeight="1" s="552">
      <c r="AG23" s="88" t="n"/>
    </row>
    <row r="24" ht="15.75" customHeight="1" s="552">
      <c r="AG24" s="88" t="n"/>
    </row>
    <row r="25" ht="15.75" customHeight="1" s="552">
      <c r="AG25" s="88" t="n"/>
    </row>
    <row r="26" ht="15.75" customHeight="1" s="552">
      <c r="AG26" s="88" t="n"/>
    </row>
    <row r="27" ht="15.75" customHeight="1" s="552">
      <c r="AG27" s="88" t="n"/>
    </row>
    <row r="28" ht="15.75" customHeight="1" s="552">
      <c r="AG28" s="88" t="n"/>
    </row>
    <row r="29" ht="15.75" customHeight="1" s="552">
      <c r="AG29" s="88" t="n"/>
    </row>
    <row r="30" ht="15.75" customHeight="1" s="552">
      <c r="AG30" s="88" t="n"/>
    </row>
    <row r="31" ht="15.75" customHeight="1" s="552">
      <c r="AG31" s="88" t="n"/>
    </row>
    <row r="32" ht="15.75" customHeight="1" s="552">
      <c r="AG32" s="88" t="n"/>
    </row>
    <row r="33" ht="15.75" customHeight="1" s="552">
      <c r="AG33" s="88" t="n"/>
    </row>
    <row r="34" ht="15.75" customHeight="1" s="552">
      <c r="AG34" s="88" t="n"/>
    </row>
    <row r="35" ht="15.75" customHeight="1" s="552">
      <c r="AG35" s="88" t="n"/>
    </row>
    <row r="36" ht="15.75" customHeight="1" s="552">
      <c r="AG36" s="88" t="n"/>
    </row>
    <row r="37" ht="15.75" customHeight="1" s="552">
      <c r="AG37" s="88" t="n"/>
    </row>
    <row r="38" ht="15.75" customHeight="1" s="552">
      <c r="AG38" s="88" t="n"/>
    </row>
    <row r="39" ht="15.75" customHeight="1" s="552">
      <c r="AG39" s="88" t="n"/>
    </row>
    <row r="40" ht="15.75" customHeight="1" s="552">
      <c r="AG40" s="88" t="n"/>
    </row>
    <row r="41" ht="15.75" customHeight="1" s="552">
      <c r="AG41" s="88" t="n"/>
    </row>
    <row r="42" ht="15.75" customHeight="1" s="552">
      <c r="AG42" s="88" t="n"/>
    </row>
    <row r="43" ht="15.75" customHeight="1" s="552">
      <c r="AG43" s="88" t="n"/>
    </row>
    <row r="44" ht="15.75" customHeight="1" s="552">
      <c r="AG44" s="88" t="n"/>
    </row>
    <row r="45" ht="15.75" customHeight="1" s="552">
      <c r="AG45" s="88" t="n"/>
    </row>
    <row r="46" ht="15.75" customHeight="1" s="552">
      <c r="AG46" s="88" t="n"/>
    </row>
    <row r="47" ht="15.75" customHeight="1" s="552">
      <c r="AG47" s="88" t="n"/>
    </row>
    <row r="48" ht="15.75" customHeight="1" s="552">
      <c r="AG48" s="88" t="n"/>
    </row>
    <row r="49" ht="15.75" customHeight="1" s="552">
      <c r="AG49" s="88" t="n"/>
    </row>
    <row r="50" ht="15.75" customHeight="1" s="552">
      <c r="AG50" s="88" t="n"/>
    </row>
    <row r="51" ht="15.75" customHeight="1" s="552">
      <c r="AG51" s="88" t="n"/>
    </row>
    <row r="52" ht="15.75" customHeight="1" s="552">
      <c r="AG52" s="88" t="n"/>
    </row>
    <row r="53" ht="15.75" customHeight="1" s="552">
      <c r="AG53" s="88" t="n"/>
    </row>
    <row r="54" ht="15.75" customHeight="1" s="552">
      <c r="AG54" s="88" t="n"/>
    </row>
    <row r="55" ht="15.75" customHeight="1" s="552">
      <c r="AG55" s="88" t="n"/>
    </row>
    <row r="56" ht="15.75" customHeight="1" s="552">
      <c r="AG56" s="88" t="n"/>
    </row>
    <row r="57" ht="15.75" customHeight="1" s="552">
      <c r="AG57" s="88" t="n"/>
    </row>
    <row r="58" ht="15.75" customHeight="1" s="552">
      <c r="AG58" s="88" t="n"/>
    </row>
    <row r="59" ht="15.75" customHeight="1" s="552">
      <c r="AG59" s="88" t="n"/>
    </row>
    <row r="60" ht="15.75" customHeight="1" s="552">
      <c r="AG60" s="88" t="n"/>
    </row>
    <row r="61" ht="15.75" customHeight="1" s="552">
      <c r="AG61" s="88" t="n"/>
    </row>
    <row r="62" ht="15.75" customHeight="1" s="552">
      <c r="AG62" s="88" t="n"/>
    </row>
    <row r="63" ht="15.75" customHeight="1" s="552">
      <c r="AG63" s="88" t="n"/>
    </row>
    <row r="64" ht="15.75" customHeight="1" s="552">
      <c r="AG64" s="88" t="n"/>
    </row>
    <row r="65" ht="15.75" customHeight="1" s="552">
      <c r="AG65" s="88" t="n"/>
    </row>
    <row r="66" ht="15.75" customHeight="1" s="552">
      <c r="AG66" s="88" t="n"/>
    </row>
    <row r="67" ht="15.75" customHeight="1" s="552">
      <c r="AG67" s="88" t="n"/>
    </row>
    <row r="68" ht="15.75" customHeight="1" s="552">
      <c r="AG68" s="88" t="n"/>
    </row>
    <row r="69" ht="15.75" customHeight="1" s="552">
      <c r="AG69" s="88" t="n"/>
    </row>
    <row r="70" ht="15.75" customHeight="1" s="552">
      <c r="AG70" s="88" t="n"/>
    </row>
    <row r="71" ht="15.75" customHeight="1" s="552">
      <c r="AG71" s="88" t="n"/>
    </row>
    <row r="72" ht="15.75" customHeight="1" s="552">
      <c r="AG72" s="88" t="n"/>
    </row>
    <row r="73" ht="15.75" customHeight="1" s="552">
      <c r="AG73" s="88" t="n"/>
    </row>
    <row r="74" ht="15.75" customHeight="1" s="552">
      <c r="AG74" s="88" t="n"/>
    </row>
    <row r="75" ht="15.75" customHeight="1" s="552">
      <c r="AG75" s="88" t="n"/>
    </row>
    <row r="76" ht="15.75" customHeight="1" s="552">
      <c r="AG76" s="88" t="n"/>
    </row>
    <row r="77" ht="15.75" customHeight="1" s="552">
      <c r="AG77" s="88" t="n"/>
    </row>
    <row r="78" ht="15.75" customHeight="1" s="552">
      <c r="AG78" s="88" t="n"/>
    </row>
    <row r="79" ht="15.75" customHeight="1" s="552">
      <c r="AG79" s="88" t="n"/>
    </row>
    <row r="80" ht="15.75" customHeight="1" s="552">
      <c r="AG80" s="88" t="n"/>
    </row>
    <row r="81" ht="15.75" customHeight="1" s="552">
      <c r="AG81" s="88" t="n"/>
    </row>
    <row r="82" ht="15.75" customHeight="1" s="552">
      <c r="AG82" s="88" t="n"/>
    </row>
    <row r="83" ht="15.75" customHeight="1" s="552">
      <c r="AG83" s="88" t="n"/>
    </row>
    <row r="84" ht="15.75" customHeight="1" s="552">
      <c r="AG84" s="88" t="n"/>
    </row>
    <row r="85" ht="15.75" customHeight="1" s="552">
      <c r="AG85" s="88" t="n"/>
    </row>
    <row r="86" ht="15.75" customHeight="1" s="552">
      <c r="AG86" s="88" t="n"/>
    </row>
    <row r="87" ht="15.75" customHeight="1" s="552">
      <c r="AG87" s="88" t="n"/>
    </row>
    <row r="88" ht="15.75" customHeight="1" s="552">
      <c r="AG88" s="88" t="n"/>
    </row>
    <row r="89" ht="15.75" customHeight="1" s="552">
      <c r="AG89" s="88" t="n"/>
    </row>
    <row r="90" ht="15.75" customHeight="1" s="552">
      <c r="AG90" s="88" t="n"/>
    </row>
    <row r="91" ht="15.75" customHeight="1" s="552">
      <c r="AG91" s="88" t="n"/>
    </row>
    <row r="92" ht="15.75" customHeight="1" s="552">
      <c r="AG92" s="88" t="n"/>
    </row>
    <row r="93" ht="15.75" customHeight="1" s="552">
      <c r="AG93" s="88" t="n"/>
    </row>
    <row r="94" ht="15.75" customHeight="1" s="552">
      <c r="AG94" s="88" t="n"/>
    </row>
    <row r="95" ht="15.75" customHeight="1" s="552">
      <c r="AG95" s="88" t="n"/>
    </row>
    <row r="96" ht="15.75" customHeight="1" s="552">
      <c r="AG96" s="88" t="n"/>
    </row>
    <row r="97" ht="15.75" customHeight="1" s="552">
      <c r="AG97" s="88" t="n"/>
    </row>
    <row r="98" ht="15.75" customHeight="1" s="552">
      <c r="AG98" s="88" t="n"/>
    </row>
    <row r="99" ht="15.75" customHeight="1" s="552">
      <c r="AG99" s="88" t="n"/>
    </row>
    <row r="100" ht="15.75" customHeight="1" s="552">
      <c r="AG100" s="88" t="n"/>
    </row>
    <row r="101" ht="15.75" customHeight="1" s="552">
      <c r="AG101" s="88" t="n"/>
    </row>
    <row r="102" ht="15.75" customHeight="1" s="552">
      <c r="AG102" s="88" t="n"/>
    </row>
    <row r="103" ht="15.75" customHeight="1" s="552">
      <c r="AG103" s="88" t="n"/>
    </row>
    <row r="104" ht="15.75" customHeight="1" s="552">
      <c r="AG104" s="88" t="n"/>
    </row>
    <row r="105" ht="15.75" customHeight="1" s="552">
      <c r="AG105" s="88" t="n"/>
    </row>
    <row r="106" ht="15.75" customHeight="1" s="552">
      <c r="AG106" s="88" t="n"/>
    </row>
    <row r="107" ht="15.75" customHeight="1" s="552">
      <c r="AG107" s="88" t="n"/>
    </row>
    <row r="108" ht="15.75" customHeight="1" s="552">
      <c r="AG108" s="88" t="n"/>
    </row>
    <row r="109" ht="15.75" customHeight="1" s="552">
      <c r="AG109" s="88" t="n"/>
    </row>
    <row r="110" ht="15.75" customHeight="1" s="552">
      <c r="AG110" s="88" t="n"/>
    </row>
    <row r="111" ht="15.75" customHeight="1" s="552">
      <c r="AG111" s="88" t="n"/>
    </row>
    <row r="112" ht="15.75" customHeight="1" s="552">
      <c r="AG112" s="88" t="n"/>
    </row>
    <row r="113" ht="15.75" customHeight="1" s="552">
      <c r="AG113" s="88" t="n"/>
    </row>
    <row r="114" ht="15.75" customHeight="1" s="552">
      <c r="AG114" s="88" t="n"/>
    </row>
    <row r="115" ht="15.75" customHeight="1" s="552">
      <c r="AG115" s="88" t="n"/>
    </row>
    <row r="116" ht="15.75" customHeight="1" s="552">
      <c r="AG116" s="88" t="n"/>
    </row>
    <row r="117" ht="15.75" customHeight="1" s="552">
      <c r="AG117" s="88" t="n"/>
    </row>
    <row r="118" ht="15.75" customHeight="1" s="552">
      <c r="AG118" s="88" t="n"/>
    </row>
    <row r="119" ht="15.75" customHeight="1" s="552">
      <c r="AG119" s="88" t="n"/>
    </row>
    <row r="120" ht="15.75" customHeight="1" s="552">
      <c r="AG120" s="88" t="n"/>
    </row>
    <row r="121" ht="15.75" customHeight="1" s="552">
      <c r="AG121" s="88" t="n"/>
    </row>
    <row r="122" ht="15.75" customHeight="1" s="552">
      <c r="AG122" s="88" t="n"/>
    </row>
    <row r="123" ht="15.75" customHeight="1" s="552">
      <c r="AG123" s="88" t="n"/>
    </row>
    <row r="124" ht="15.75" customHeight="1" s="552">
      <c r="AG124" s="88" t="n"/>
    </row>
    <row r="125" ht="15.75" customHeight="1" s="552">
      <c r="AG125" s="88" t="n"/>
    </row>
    <row r="126" ht="15.75" customHeight="1" s="552">
      <c r="AG126" s="88" t="n"/>
    </row>
    <row r="127" ht="15.75" customHeight="1" s="552">
      <c r="AG127" s="88" t="n"/>
    </row>
    <row r="128" ht="15.75" customHeight="1" s="552">
      <c r="AG128" s="88" t="n"/>
    </row>
    <row r="129" ht="15.75" customHeight="1" s="552">
      <c r="AG129" s="88" t="n"/>
    </row>
    <row r="130" ht="15.75" customHeight="1" s="552">
      <c r="AG130" s="88" t="n"/>
    </row>
    <row r="131" ht="15.75" customHeight="1" s="552">
      <c r="AG131" s="88" t="n"/>
    </row>
    <row r="132" ht="15.75" customHeight="1" s="552">
      <c r="AG132" s="88" t="n"/>
    </row>
    <row r="133" ht="15.75" customHeight="1" s="552">
      <c r="AG133" s="88" t="n"/>
    </row>
    <row r="134" ht="15.75" customHeight="1" s="552">
      <c r="AG134" s="88" t="n"/>
    </row>
    <row r="135" ht="15.75" customHeight="1" s="552">
      <c r="AG135" s="88" t="n"/>
    </row>
    <row r="136" ht="15.75" customHeight="1" s="552">
      <c r="AG136" s="88" t="n"/>
    </row>
    <row r="137" ht="15.75" customHeight="1" s="552">
      <c r="AG137" s="88" t="n"/>
    </row>
    <row r="138" ht="15.75" customHeight="1" s="552">
      <c r="AG138" s="88" t="n"/>
    </row>
    <row r="139" ht="15.75" customHeight="1" s="552">
      <c r="AG139" s="88" t="n"/>
    </row>
    <row r="140" ht="15.75" customHeight="1" s="552">
      <c r="AG140" s="88" t="n"/>
    </row>
    <row r="141" ht="15.75" customHeight="1" s="552">
      <c r="AG141" s="88" t="n"/>
    </row>
    <row r="142" ht="15.75" customHeight="1" s="552">
      <c r="AG142" s="88" t="n"/>
    </row>
    <row r="143" ht="15.75" customHeight="1" s="552">
      <c r="AG143" s="88" t="n"/>
    </row>
    <row r="144" ht="15.75" customHeight="1" s="552">
      <c r="AG144" s="88" t="n"/>
    </row>
    <row r="145" ht="15.75" customHeight="1" s="552">
      <c r="AG145" s="88" t="n"/>
    </row>
    <row r="146" ht="15.75" customHeight="1" s="552">
      <c r="AG146" s="88" t="n"/>
    </row>
    <row r="147" ht="15.75" customHeight="1" s="552">
      <c r="AG147" s="88" t="n"/>
    </row>
    <row r="148" ht="15.75" customHeight="1" s="552">
      <c r="AG148" s="88" t="n"/>
    </row>
    <row r="149" ht="15.75" customHeight="1" s="552">
      <c r="AG149" s="88" t="n"/>
    </row>
    <row r="150" ht="15.75" customHeight="1" s="552">
      <c r="AG150" s="88" t="n"/>
    </row>
    <row r="151" ht="15.75" customHeight="1" s="552">
      <c r="AG151" s="88" t="n"/>
    </row>
    <row r="152" ht="15.75" customHeight="1" s="552">
      <c r="AG152" s="88" t="n"/>
    </row>
    <row r="153" ht="15.75" customHeight="1" s="552">
      <c r="AG153" s="88" t="n"/>
    </row>
    <row r="154" ht="15.75" customHeight="1" s="552">
      <c r="AG154" s="88" t="n"/>
    </row>
    <row r="155" ht="15.75" customHeight="1" s="552">
      <c r="AG155" s="88" t="n"/>
    </row>
    <row r="156" ht="15.75" customHeight="1" s="552">
      <c r="AG156" s="88" t="n"/>
    </row>
    <row r="157" ht="15.75" customHeight="1" s="552">
      <c r="AG157" s="88" t="n"/>
    </row>
    <row r="158" ht="15.75" customHeight="1" s="552">
      <c r="AG158" s="88" t="n"/>
    </row>
    <row r="159" ht="15.75" customHeight="1" s="552">
      <c r="AG159" s="88" t="n"/>
    </row>
    <row r="160" ht="15.75" customHeight="1" s="552">
      <c r="AG160" s="88" t="n"/>
    </row>
    <row r="161" ht="15.75" customHeight="1" s="552">
      <c r="AG161" s="88" t="n"/>
    </row>
    <row r="162" ht="15.75" customHeight="1" s="552">
      <c r="AG162" s="88" t="n"/>
    </row>
    <row r="163" ht="15.75" customHeight="1" s="552">
      <c r="AG163" s="88" t="n"/>
    </row>
    <row r="164" ht="15.75" customHeight="1" s="552">
      <c r="AG164" s="88" t="n"/>
    </row>
    <row r="165" ht="15.75" customHeight="1" s="552">
      <c r="AG165" s="88" t="n"/>
    </row>
    <row r="166" ht="15.75" customHeight="1" s="552">
      <c r="AG166" s="88" t="n"/>
    </row>
    <row r="167" ht="15.75" customHeight="1" s="552">
      <c r="AG167" s="88" t="n"/>
    </row>
    <row r="168" ht="15.75" customHeight="1" s="552">
      <c r="AG168" s="88" t="n"/>
    </row>
    <row r="169" ht="15.75" customHeight="1" s="552">
      <c r="AG169" s="88" t="n"/>
    </row>
    <row r="170" ht="15.75" customHeight="1" s="552">
      <c r="AG170" s="88" t="n"/>
    </row>
    <row r="171" ht="15.75" customHeight="1" s="552">
      <c r="AG171" s="88" t="n"/>
    </row>
    <row r="172" ht="15.75" customHeight="1" s="552">
      <c r="AG172" s="88" t="n"/>
    </row>
    <row r="173" ht="15.75" customHeight="1" s="552">
      <c r="AG173" s="88" t="n"/>
    </row>
    <row r="174" ht="15.75" customHeight="1" s="552">
      <c r="AG174" s="88" t="n"/>
    </row>
    <row r="175" ht="15.75" customHeight="1" s="552">
      <c r="AG175" s="88" t="n"/>
    </row>
    <row r="176" ht="15.75" customHeight="1" s="552">
      <c r="AG176" s="88" t="n"/>
    </row>
    <row r="177" ht="15.75" customHeight="1" s="552">
      <c r="AG177" s="88" t="n"/>
    </row>
    <row r="178" ht="15.75" customHeight="1" s="552">
      <c r="AG178" s="88" t="n"/>
    </row>
    <row r="179" ht="15.75" customHeight="1" s="552">
      <c r="AG179" s="88" t="n"/>
    </row>
    <row r="180" ht="15.75" customHeight="1" s="552">
      <c r="AG180" s="88" t="n"/>
    </row>
    <row r="181" ht="15.75" customHeight="1" s="552">
      <c r="AG181" s="88" t="n"/>
    </row>
    <row r="182" ht="15.75" customHeight="1" s="552">
      <c r="AG182" s="88" t="n"/>
    </row>
    <row r="183" ht="15.75" customHeight="1" s="552">
      <c r="AG183" s="88" t="n"/>
    </row>
    <row r="184" ht="15.75" customHeight="1" s="552">
      <c r="AG184" s="88" t="n"/>
    </row>
    <row r="185" ht="15.75" customHeight="1" s="552">
      <c r="AG185" s="88" t="n"/>
    </row>
    <row r="186" ht="15.75" customHeight="1" s="552">
      <c r="AG186" s="88" t="n"/>
    </row>
    <row r="187" ht="15.75" customHeight="1" s="552">
      <c r="AG187" s="88" t="n"/>
    </row>
    <row r="188" ht="15.75" customHeight="1" s="552">
      <c r="AG188" s="88" t="n"/>
    </row>
    <row r="189" ht="15.75" customHeight="1" s="552">
      <c r="AG189" s="88" t="n"/>
    </row>
    <row r="190" ht="15.75" customHeight="1" s="552">
      <c r="AG190" s="88" t="n"/>
    </row>
    <row r="191" ht="15.75" customHeight="1" s="552">
      <c r="AG191" s="88" t="n"/>
    </row>
    <row r="192" ht="15.75" customHeight="1" s="552">
      <c r="AG192" s="88" t="n"/>
    </row>
    <row r="193" ht="15.75" customHeight="1" s="552">
      <c r="AG193" s="88" t="n"/>
    </row>
    <row r="194" ht="15.75" customHeight="1" s="552">
      <c r="AG194" s="88" t="n"/>
    </row>
    <row r="195" ht="15.75" customHeight="1" s="552">
      <c r="AG195" s="88" t="n"/>
    </row>
    <row r="196" ht="15.75" customHeight="1" s="552">
      <c r="AG196" s="88" t="n"/>
    </row>
    <row r="197" ht="15.75" customHeight="1" s="552">
      <c r="AG197" s="88" t="n"/>
    </row>
    <row r="198" ht="15.75" customHeight="1" s="552">
      <c r="AG198" s="88" t="n"/>
    </row>
    <row r="199" ht="15.75" customHeight="1" s="552">
      <c r="AG199" s="88" t="n"/>
    </row>
    <row r="200" ht="15.75" customHeight="1" s="552">
      <c r="AG200" s="88" t="n"/>
    </row>
    <row r="201" ht="15.75" customHeight="1" s="552">
      <c r="AG201" s="88" t="n"/>
    </row>
    <row r="202" ht="15.75" customHeight="1" s="552">
      <c r="AG202" s="88" t="n"/>
    </row>
    <row r="203" ht="15.75" customHeight="1" s="552">
      <c r="AG203" s="88" t="n"/>
    </row>
    <row r="204" ht="15.75" customHeight="1" s="552">
      <c r="AG204" s="88" t="n"/>
    </row>
    <row r="205" ht="15.75" customHeight="1" s="552">
      <c r="AG205" s="88" t="n"/>
    </row>
    <row r="206" ht="15.75" customHeight="1" s="552">
      <c r="AG206" s="88" t="n"/>
    </row>
    <row r="207" ht="15.75" customHeight="1" s="552">
      <c r="AG207" s="88" t="n"/>
    </row>
    <row r="208" ht="15.75" customHeight="1" s="552">
      <c r="AG208" s="88" t="n"/>
    </row>
    <row r="209" ht="15.75" customHeight="1" s="552">
      <c r="AG209" s="88" t="n"/>
    </row>
    <row r="210" ht="15.75" customHeight="1" s="552">
      <c r="AG210" s="88" t="n"/>
    </row>
    <row r="211" ht="15.75" customHeight="1" s="552">
      <c r="AG211" s="88" t="n"/>
    </row>
    <row r="212" ht="15.75" customHeight="1" s="552">
      <c r="AG212" s="88" t="n"/>
    </row>
    <row r="213" ht="15.75" customHeight="1" s="552">
      <c r="AG213" s="88" t="n"/>
    </row>
    <row r="214" ht="15.75" customHeight="1" s="552">
      <c r="AG214" s="88" t="n"/>
    </row>
    <row r="215" ht="15.75" customHeight="1" s="552">
      <c r="AG215" s="88" t="n"/>
    </row>
    <row r="216" ht="15.75" customHeight="1" s="552">
      <c r="AG216" s="88" t="n"/>
    </row>
    <row r="217" ht="15.75" customHeight="1" s="552">
      <c r="AG217" s="88" t="n"/>
    </row>
    <row r="218" ht="15.75" customHeight="1" s="552">
      <c r="AG218" s="88" t="n"/>
    </row>
    <row r="219" ht="15.75" customHeight="1" s="552">
      <c r="AG219" s="88" t="n"/>
    </row>
    <row r="220" ht="15.75" customHeight="1" s="552">
      <c r="AG220" s="88" t="n"/>
    </row>
    <row r="221" ht="15.75" customHeight="1" s="552">
      <c r="AG221" s="88" t="n"/>
    </row>
    <row r="222" ht="15.75" customHeight="1" s="552">
      <c r="AG222" s="88" t="n"/>
    </row>
    <row r="223" ht="15.75" customHeight="1" s="552">
      <c r="AG223" s="88" t="n"/>
    </row>
    <row r="224" ht="15.75" customHeight="1" s="552">
      <c r="AG224" s="88" t="n"/>
    </row>
    <row r="225" ht="15.75" customHeight="1" s="552">
      <c r="AG225" s="88" t="n"/>
    </row>
    <row r="226" ht="15.75" customHeight="1" s="552">
      <c r="AG226" s="88" t="n"/>
    </row>
    <row r="227" ht="15.75" customHeight="1" s="552">
      <c r="AG227" s="88" t="n"/>
    </row>
    <row r="228" ht="15.75" customHeight="1" s="552">
      <c r="AG228" s="88" t="n"/>
    </row>
    <row r="229" ht="15.75" customHeight="1" s="552">
      <c r="AG229" s="88" t="n"/>
    </row>
    <row r="230" ht="15.75" customHeight="1" s="552">
      <c r="AG230" s="88" t="n"/>
    </row>
    <row r="231" ht="15.75" customHeight="1" s="552">
      <c r="AG231" s="88" t="n"/>
    </row>
    <row r="232" ht="15.75" customHeight="1" s="552">
      <c r="AG232" s="88" t="n"/>
    </row>
    <row r="233" ht="15.75" customHeight="1" s="552">
      <c r="AG233" s="88" t="n"/>
    </row>
    <row r="234" ht="15.75" customHeight="1" s="552">
      <c r="AG234" s="88" t="n"/>
    </row>
    <row r="235" ht="15.75" customHeight="1" s="552">
      <c r="AG235" s="88" t="n"/>
    </row>
    <row r="236" ht="15.75" customHeight="1" s="552">
      <c r="AG236" s="88" t="n"/>
    </row>
    <row r="237" ht="15.75" customHeight="1" s="552">
      <c r="AG237" s="88" t="n"/>
    </row>
    <row r="238" ht="15.75" customHeight="1" s="552">
      <c r="AG238" s="88" t="n"/>
    </row>
    <row r="239" ht="15.75" customHeight="1" s="552">
      <c r="AG239" s="88" t="n"/>
    </row>
    <row r="240" ht="15.75" customHeight="1" s="552">
      <c r="AG240" s="88" t="n"/>
    </row>
    <row r="241" ht="15.75" customHeight="1" s="552">
      <c r="AG241" s="88" t="n"/>
    </row>
    <row r="242" ht="15.75" customHeight="1" s="552">
      <c r="AG242" s="88" t="n"/>
    </row>
    <row r="243" ht="15.75" customHeight="1" s="552">
      <c r="AG243" s="88" t="n"/>
    </row>
    <row r="244" ht="15.75" customHeight="1" s="552">
      <c r="AG244" s="88" t="n"/>
    </row>
    <row r="245" ht="15.75" customHeight="1" s="552">
      <c r="AG245" s="88" t="n"/>
    </row>
    <row r="246" ht="15.75" customHeight="1" s="552">
      <c r="AG246" s="88" t="n"/>
    </row>
    <row r="247" ht="15.75" customHeight="1" s="552">
      <c r="AG247" s="88" t="n"/>
    </row>
    <row r="248" ht="15.75" customHeight="1" s="552">
      <c r="AG248" s="88" t="n"/>
    </row>
    <row r="249" ht="15.75" customHeight="1" s="552">
      <c r="AG249" s="88" t="n"/>
    </row>
    <row r="250" ht="15.75" customHeight="1" s="552">
      <c r="AG250" s="88" t="n"/>
    </row>
    <row r="251" ht="15.75" customHeight="1" s="552">
      <c r="AG251" s="88" t="n"/>
    </row>
    <row r="252" ht="15.75" customHeight="1" s="552">
      <c r="AG252" s="88" t="n"/>
    </row>
    <row r="253" ht="15.75" customHeight="1" s="552">
      <c r="AG253" s="88" t="n"/>
    </row>
    <row r="254" ht="15.75" customHeight="1" s="552">
      <c r="AG254" s="88" t="n"/>
    </row>
    <row r="255" ht="15.75" customHeight="1" s="552">
      <c r="AG255" s="88" t="n"/>
    </row>
    <row r="256" ht="15.75" customHeight="1" s="552">
      <c r="AG256" s="88" t="n"/>
    </row>
    <row r="257" ht="15.75" customHeight="1" s="552">
      <c r="AG257" s="88" t="n"/>
    </row>
    <row r="258" ht="15.75" customHeight="1" s="552">
      <c r="AG258" s="88" t="n"/>
    </row>
    <row r="259" ht="15.75" customHeight="1" s="552">
      <c r="AG259" s="88" t="n"/>
    </row>
    <row r="260" ht="15.75" customHeight="1" s="552">
      <c r="AG260" s="88" t="n"/>
    </row>
    <row r="261" ht="15.75" customHeight="1" s="552">
      <c r="AG261" s="88" t="n"/>
    </row>
    <row r="262" ht="15.75" customHeight="1" s="552">
      <c r="AG262" s="88" t="n"/>
    </row>
    <row r="263" ht="15.75" customHeight="1" s="552">
      <c r="AG263" s="88" t="n"/>
    </row>
    <row r="264" ht="15.75" customHeight="1" s="552">
      <c r="AG264" s="88" t="n"/>
    </row>
    <row r="265" ht="15.75" customHeight="1" s="552">
      <c r="AG265" s="88" t="n"/>
    </row>
    <row r="266" ht="15.75" customHeight="1" s="552">
      <c r="AG266" s="88" t="n"/>
    </row>
    <row r="267" ht="15.75" customHeight="1" s="552">
      <c r="AG267" s="88" t="n"/>
    </row>
    <row r="268" ht="15.75" customHeight="1" s="552">
      <c r="AG268" s="88" t="n"/>
    </row>
    <row r="269" ht="15.75" customHeight="1" s="552">
      <c r="AG269" s="88" t="n"/>
    </row>
    <row r="270" ht="15.75" customHeight="1" s="552">
      <c r="AG270" s="88" t="n"/>
    </row>
    <row r="271" ht="15.75" customHeight="1" s="552">
      <c r="AG271" s="88" t="n"/>
    </row>
    <row r="272" ht="15.75" customHeight="1" s="552">
      <c r="AG272" s="88" t="n"/>
    </row>
    <row r="273" ht="15.75" customHeight="1" s="552">
      <c r="AG273" s="88" t="n"/>
    </row>
    <row r="274" ht="15.75" customHeight="1" s="552">
      <c r="AG274" s="88" t="n"/>
    </row>
    <row r="275" ht="15.75" customHeight="1" s="552">
      <c r="AG275" s="88" t="n"/>
    </row>
    <row r="276" ht="15.75" customHeight="1" s="552">
      <c r="AG276" s="88" t="n"/>
    </row>
    <row r="277" ht="15.75" customHeight="1" s="552">
      <c r="AG277" s="88" t="n"/>
    </row>
    <row r="278" ht="15.75" customHeight="1" s="552">
      <c r="AG278" s="88" t="n"/>
    </row>
    <row r="279" ht="15.75" customHeight="1" s="552">
      <c r="AG279" s="88" t="n"/>
    </row>
    <row r="280" ht="15.75" customHeight="1" s="552">
      <c r="AG280" s="88" t="n"/>
    </row>
    <row r="281" ht="15.75" customHeight="1" s="552">
      <c r="AG281" s="88" t="n"/>
    </row>
    <row r="282" ht="15.75" customHeight="1" s="552">
      <c r="AG282" s="88" t="n"/>
    </row>
    <row r="283" ht="15.75" customHeight="1" s="552">
      <c r="AG283" s="88" t="n"/>
    </row>
    <row r="284" ht="15.75" customHeight="1" s="552">
      <c r="AG284" s="88" t="n"/>
    </row>
    <row r="285" ht="15.75" customHeight="1" s="552">
      <c r="AG285" s="88" t="n"/>
    </row>
    <row r="286" ht="15.75" customHeight="1" s="552">
      <c r="AG286" s="88" t="n"/>
    </row>
    <row r="287" ht="15.75" customHeight="1" s="552">
      <c r="AG287" s="88" t="n"/>
    </row>
    <row r="288" ht="15.75" customHeight="1" s="552">
      <c r="AG288" s="88" t="n"/>
    </row>
    <row r="289" ht="15.75" customHeight="1" s="552">
      <c r="AG289" s="88" t="n"/>
    </row>
    <row r="290" ht="15.75" customHeight="1" s="552">
      <c r="AG290" s="88" t="n"/>
    </row>
    <row r="291" ht="15.75" customHeight="1" s="552">
      <c r="AG291" s="88" t="n"/>
    </row>
    <row r="292" ht="15.75" customHeight="1" s="552">
      <c r="AG292" s="88" t="n"/>
    </row>
    <row r="293" ht="15.75" customHeight="1" s="552">
      <c r="AG293" s="88" t="n"/>
    </row>
    <row r="294" ht="15.75" customHeight="1" s="552">
      <c r="AG294" s="88" t="n"/>
    </row>
    <row r="295" ht="15.75" customHeight="1" s="552">
      <c r="AG295" s="88" t="n"/>
    </row>
    <row r="296" ht="15.75" customHeight="1" s="552">
      <c r="AG296" s="88" t="n"/>
    </row>
    <row r="297" ht="15.75" customHeight="1" s="552">
      <c r="AG297" s="88" t="n"/>
    </row>
    <row r="298" ht="15.75" customHeight="1" s="552">
      <c r="AG298" s="88" t="n"/>
    </row>
    <row r="299" ht="15.75" customHeight="1" s="552">
      <c r="AG299" s="88" t="n"/>
    </row>
    <row r="300" ht="15.75" customHeight="1" s="552">
      <c r="AG300" s="88" t="n"/>
    </row>
    <row r="301" ht="15.75" customHeight="1" s="552">
      <c r="AG301" s="88" t="n"/>
    </row>
    <row r="302" ht="15.75" customHeight="1" s="552">
      <c r="AG302" s="88" t="n"/>
    </row>
    <row r="303" ht="15.75" customHeight="1" s="552">
      <c r="AG303" s="88" t="n"/>
    </row>
    <row r="304" ht="15.75" customHeight="1" s="552">
      <c r="AG304" s="88" t="n"/>
    </row>
    <row r="305" ht="15.75" customHeight="1" s="552">
      <c r="AG305" s="88" t="n"/>
    </row>
    <row r="306" ht="15.75" customHeight="1" s="552">
      <c r="AG306" s="88" t="n"/>
    </row>
    <row r="307" ht="15.75" customHeight="1" s="552">
      <c r="AG307" s="88" t="n"/>
    </row>
    <row r="308" ht="15.75" customHeight="1" s="552">
      <c r="AG308" s="88" t="n"/>
    </row>
    <row r="309" ht="15.75" customHeight="1" s="552">
      <c r="AG309" s="88" t="n"/>
    </row>
    <row r="310" ht="15.75" customHeight="1" s="552">
      <c r="AG310" s="88" t="n"/>
    </row>
    <row r="311" ht="15.75" customHeight="1" s="552">
      <c r="AG311" s="88" t="n"/>
    </row>
    <row r="312" ht="15.75" customHeight="1" s="552">
      <c r="AG312" s="88" t="n"/>
    </row>
    <row r="313" ht="15.75" customHeight="1" s="552">
      <c r="AG313" s="88" t="n"/>
    </row>
    <row r="314" ht="15.75" customHeight="1" s="552">
      <c r="AG314" s="88" t="n"/>
    </row>
    <row r="315" ht="15.75" customHeight="1" s="552">
      <c r="AG315" s="88" t="n"/>
    </row>
    <row r="316" ht="15.75" customHeight="1" s="552">
      <c r="AG316" s="88" t="n"/>
    </row>
    <row r="317" ht="15.75" customHeight="1" s="552">
      <c r="AG317" s="88" t="n"/>
    </row>
    <row r="318" ht="15.75" customHeight="1" s="552">
      <c r="AG318" s="88" t="n"/>
    </row>
    <row r="319" ht="15.75" customHeight="1" s="552">
      <c r="AG319" s="88" t="n"/>
    </row>
    <row r="320" ht="15.75" customHeight="1" s="552">
      <c r="AG320" s="88" t="n"/>
    </row>
    <row r="321" ht="15.75" customHeight="1" s="552">
      <c r="AG321" s="88" t="n"/>
    </row>
    <row r="322" ht="15.75" customHeight="1" s="552">
      <c r="AG322" s="88" t="n"/>
    </row>
    <row r="323" ht="15.75" customHeight="1" s="552">
      <c r="AG323" s="88" t="n"/>
    </row>
    <row r="324" ht="15.75" customHeight="1" s="552">
      <c r="AG324" s="88" t="n"/>
    </row>
    <row r="325" ht="15.75" customHeight="1" s="552">
      <c r="AG325" s="88" t="n"/>
    </row>
    <row r="326" ht="15.75" customHeight="1" s="552">
      <c r="AG326" s="88" t="n"/>
    </row>
    <row r="327" ht="15.75" customHeight="1" s="552">
      <c r="AG327" s="88" t="n"/>
    </row>
    <row r="328" ht="15.75" customHeight="1" s="552">
      <c r="AG328" s="88" t="n"/>
    </row>
    <row r="329" ht="15.75" customHeight="1" s="552">
      <c r="AG329" s="88" t="n"/>
    </row>
    <row r="330" ht="15.75" customHeight="1" s="552">
      <c r="AG330" s="88" t="n"/>
    </row>
    <row r="331" ht="15.75" customHeight="1" s="552">
      <c r="AG331" s="88" t="n"/>
    </row>
    <row r="332" ht="15.75" customHeight="1" s="552">
      <c r="AG332" s="88" t="n"/>
    </row>
    <row r="333" ht="15.75" customHeight="1" s="552">
      <c r="AG333" s="88" t="n"/>
    </row>
    <row r="334" ht="15.75" customHeight="1" s="552">
      <c r="AG334" s="88" t="n"/>
    </row>
    <row r="335" ht="15.75" customHeight="1" s="552">
      <c r="AG335" s="88" t="n"/>
    </row>
    <row r="336" ht="15.75" customHeight="1" s="552">
      <c r="AG336" s="88" t="n"/>
    </row>
    <row r="337" ht="15.75" customHeight="1" s="552">
      <c r="AG337" s="88" t="n"/>
    </row>
    <row r="338" ht="15.75" customHeight="1" s="552">
      <c r="AG338" s="88" t="n"/>
    </row>
    <row r="339" ht="15.75" customHeight="1" s="552">
      <c r="AG339" s="88" t="n"/>
    </row>
    <row r="340" ht="15.75" customHeight="1" s="552">
      <c r="AG340" s="88" t="n"/>
    </row>
    <row r="341" ht="15.75" customHeight="1" s="552">
      <c r="AG341" s="88" t="n"/>
    </row>
    <row r="342" ht="15.75" customHeight="1" s="552">
      <c r="AG342" s="88" t="n"/>
    </row>
    <row r="343" ht="15.75" customHeight="1" s="552">
      <c r="AG343" s="88" t="n"/>
    </row>
    <row r="344" ht="15.75" customHeight="1" s="552">
      <c r="AG344" s="88" t="n"/>
    </row>
    <row r="345" ht="15.75" customHeight="1" s="552">
      <c r="AG345" s="88" t="n"/>
    </row>
    <row r="346" ht="15.75" customHeight="1" s="552">
      <c r="AG346" s="88" t="n"/>
    </row>
    <row r="347" ht="15.75" customHeight="1" s="552">
      <c r="AG347" s="88" t="n"/>
    </row>
    <row r="348" ht="15.75" customHeight="1" s="552">
      <c r="AG348" s="88" t="n"/>
    </row>
    <row r="349" ht="15.75" customHeight="1" s="552">
      <c r="AG349" s="88" t="n"/>
    </row>
    <row r="350" ht="15.75" customHeight="1" s="552">
      <c r="AG350" s="88" t="n"/>
    </row>
    <row r="351" ht="15.75" customHeight="1" s="552">
      <c r="AG351" s="88" t="n"/>
    </row>
    <row r="352" ht="15.75" customHeight="1" s="552">
      <c r="AG352" s="88" t="n"/>
    </row>
    <row r="353" ht="15.75" customHeight="1" s="552">
      <c r="AG353" s="88" t="n"/>
    </row>
    <row r="354" ht="15.75" customHeight="1" s="552">
      <c r="AG354" s="88" t="n"/>
    </row>
    <row r="355" ht="15.75" customHeight="1" s="552">
      <c r="AG355" s="88" t="n"/>
    </row>
    <row r="356" ht="15.75" customHeight="1" s="552">
      <c r="AG356" s="88" t="n"/>
    </row>
    <row r="357" ht="15.75" customHeight="1" s="552">
      <c r="AG357" s="88" t="n"/>
    </row>
    <row r="358" ht="15.75" customHeight="1" s="552">
      <c r="AG358" s="88" t="n"/>
    </row>
    <row r="359" ht="15.75" customHeight="1" s="552">
      <c r="AG359" s="88" t="n"/>
    </row>
    <row r="360" ht="15.75" customHeight="1" s="552">
      <c r="AG360" s="88" t="n"/>
    </row>
    <row r="361" ht="15.75" customHeight="1" s="552">
      <c r="AG361" s="88" t="n"/>
    </row>
    <row r="362" ht="15.75" customHeight="1" s="552">
      <c r="AG362" s="88" t="n"/>
    </row>
    <row r="363" ht="15.75" customHeight="1" s="552">
      <c r="AG363" s="88" t="n"/>
    </row>
    <row r="364" ht="15.75" customHeight="1" s="552">
      <c r="AG364" s="88" t="n"/>
    </row>
    <row r="365" ht="15.75" customHeight="1" s="552">
      <c r="AG365" s="88" t="n"/>
    </row>
    <row r="366" ht="15.75" customHeight="1" s="552">
      <c r="AG366" s="88" t="n"/>
    </row>
    <row r="367" ht="15.75" customHeight="1" s="552">
      <c r="AG367" s="88" t="n"/>
    </row>
    <row r="368" ht="15.75" customHeight="1" s="552">
      <c r="AG368" s="88" t="n"/>
    </row>
    <row r="369" ht="15.75" customHeight="1" s="552">
      <c r="AG369" s="88" t="n"/>
    </row>
    <row r="370" ht="15.75" customHeight="1" s="552">
      <c r="AG370" s="88" t="n"/>
    </row>
    <row r="371" ht="15.75" customHeight="1" s="552">
      <c r="AG371" s="88" t="n"/>
    </row>
    <row r="372" ht="15.75" customHeight="1" s="552">
      <c r="AG372" s="88" t="n"/>
    </row>
    <row r="373" ht="15.75" customHeight="1" s="552">
      <c r="AG373" s="88" t="n"/>
    </row>
    <row r="374" ht="15.75" customHeight="1" s="552">
      <c r="AG374" s="88" t="n"/>
    </row>
    <row r="375" ht="15.75" customHeight="1" s="552">
      <c r="AG375" s="88" t="n"/>
    </row>
    <row r="376" ht="15.75" customHeight="1" s="552">
      <c r="AG376" s="88" t="n"/>
    </row>
    <row r="377" ht="15.75" customHeight="1" s="552">
      <c r="AG377" s="88" t="n"/>
    </row>
    <row r="378" ht="15.75" customHeight="1" s="552">
      <c r="AG378" s="88" t="n"/>
    </row>
    <row r="379" ht="15.75" customHeight="1" s="552">
      <c r="AG379" s="88" t="n"/>
    </row>
    <row r="380" ht="15.75" customHeight="1" s="552">
      <c r="AG380" s="88" t="n"/>
    </row>
    <row r="381" ht="15.75" customHeight="1" s="552">
      <c r="AG381" s="88" t="n"/>
    </row>
    <row r="382" ht="15.75" customHeight="1" s="552">
      <c r="AG382" s="88" t="n"/>
    </row>
    <row r="383" ht="15.75" customHeight="1" s="552">
      <c r="AG383" s="88" t="n"/>
    </row>
    <row r="384" ht="15.75" customHeight="1" s="552">
      <c r="AG384" s="88" t="n"/>
    </row>
    <row r="385" ht="15.75" customHeight="1" s="552">
      <c r="AG385" s="88" t="n"/>
    </row>
    <row r="386" ht="15.75" customHeight="1" s="552">
      <c r="AG386" s="88" t="n"/>
    </row>
    <row r="387" ht="15.75" customHeight="1" s="552">
      <c r="AG387" s="88" t="n"/>
    </row>
    <row r="388" ht="15.75" customHeight="1" s="552">
      <c r="AG388" s="88" t="n"/>
    </row>
    <row r="389" ht="15.75" customHeight="1" s="552">
      <c r="AG389" s="88" t="n"/>
    </row>
    <row r="390" ht="15.75" customHeight="1" s="552">
      <c r="AG390" s="88" t="n"/>
    </row>
    <row r="391" ht="15.75" customHeight="1" s="552">
      <c r="AG391" s="88" t="n"/>
    </row>
    <row r="392" ht="15.75" customHeight="1" s="552">
      <c r="AG392" s="88" t="n"/>
    </row>
    <row r="393" ht="15.75" customHeight="1" s="552">
      <c r="AG393" s="88" t="n"/>
    </row>
    <row r="394" ht="15.75" customHeight="1" s="552">
      <c r="AG394" s="88" t="n"/>
    </row>
    <row r="395" ht="15.75" customHeight="1" s="552">
      <c r="AG395" s="88" t="n"/>
    </row>
    <row r="396" ht="15.75" customHeight="1" s="552">
      <c r="AG396" s="88" t="n"/>
    </row>
    <row r="397" ht="15.75" customHeight="1" s="552">
      <c r="AG397" s="88" t="n"/>
    </row>
    <row r="398" ht="15.75" customHeight="1" s="552">
      <c r="AG398" s="88" t="n"/>
    </row>
    <row r="399" ht="15.75" customHeight="1" s="552">
      <c r="AG399" s="88" t="n"/>
    </row>
    <row r="400" ht="15.75" customHeight="1" s="552">
      <c r="AG400" s="88" t="n"/>
    </row>
    <row r="401" ht="15.75" customHeight="1" s="552">
      <c r="AG401" s="88" t="n"/>
    </row>
    <row r="402" ht="15.75" customHeight="1" s="552">
      <c r="AG402" s="88" t="n"/>
    </row>
    <row r="403" ht="15.75" customHeight="1" s="552">
      <c r="AG403" s="88" t="n"/>
    </row>
    <row r="404" ht="15.75" customHeight="1" s="552">
      <c r="AG404" s="88" t="n"/>
    </row>
    <row r="405" ht="15.75" customHeight="1" s="552">
      <c r="AG405" s="88" t="n"/>
    </row>
    <row r="406" ht="15.75" customHeight="1" s="552">
      <c r="AG406" s="88" t="n"/>
    </row>
    <row r="407" ht="15.75" customHeight="1" s="552">
      <c r="AG407" s="88" t="n"/>
    </row>
    <row r="408" ht="15.75" customHeight="1" s="552">
      <c r="AG408" s="88" t="n"/>
    </row>
    <row r="409" ht="15.75" customHeight="1" s="552">
      <c r="AG409" s="88" t="n"/>
    </row>
    <row r="410" ht="15.75" customHeight="1" s="552">
      <c r="AG410" s="88" t="n"/>
    </row>
    <row r="411" ht="15.75" customHeight="1" s="552">
      <c r="AG411" s="88" t="n"/>
    </row>
    <row r="412" ht="15.75" customHeight="1" s="552">
      <c r="AG412" s="88" t="n"/>
    </row>
    <row r="413" ht="15.75" customHeight="1" s="552">
      <c r="AG413" s="88" t="n"/>
    </row>
    <row r="414" ht="15.75" customHeight="1" s="552">
      <c r="AG414" s="88" t="n"/>
    </row>
    <row r="415" ht="15.75" customHeight="1" s="552">
      <c r="AG415" s="88" t="n"/>
    </row>
    <row r="416" ht="15.75" customHeight="1" s="552">
      <c r="AG416" s="88" t="n"/>
    </row>
    <row r="417" ht="15.75" customHeight="1" s="552">
      <c r="AG417" s="88" t="n"/>
    </row>
    <row r="418" ht="15.75" customHeight="1" s="552">
      <c r="AG418" s="88" t="n"/>
    </row>
    <row r="419" ht="15.75" customHeight="1" s="552">
      <c r="AG419" s="88" t="n"/>
    </row>
    <row r="420" ht="15.75" customHeight="1" s="552">
      <c r="AG420" s="88" t="n"/>
    </row>
    <row r="421" ht="15.75" customHeight="1" s="552">
      <c r="AG421" s="88" t="n"/>
    </row>
    <row r="422" ht="15.75" customHeight="1" s="552">
      <c r="AG422" s="88" t="n"/>
    </row>
    <row r="423" ht="15.75" customHeight="1" s="552">
      <c r="AG423" s="88" t="n"/>
    </row>
    <row r="424" ht="15.75" customHeight="1" s="552">
      <c r="AG424" s="88" t="n"/>
    </row>
    <row r="425" ht="15.75" customHeight="1" s="552">
      <c r="AG425" s="88" t="n"/>
    </row>
    <row r="426" ht="15.75" customHeight="1" s="552">
      <c r="AG426" s="88" t="n"/>
    </row>
    <row r="427" ht="15.75" customHeight="1" s="552">
      <c r="AG427" s="88" t="n"/>
    </row>
    <row r="428" ht="15.75" customHeight="1" s="552">
      <c r="AG428" s="88" t="n"/>
    </row>
    <row r="429" ht="15.75" customHeight="1" s="552">
      <c r="AG429" s="88" t="n"/>
    </row>
    <row r="430" ht="15.75" customHeight="1" s="552">
      <c r="AG430" s="88" t="n"/>
    </row>
    <row r="431" ht="15.75" customHeight="1" s="552">
      <c r="AG431" s="88" t="n"/>
    </row>
    <row r="432" ht="15.75" customHeight="1" s="552">
      <c r="AG432" s="88" t="n"/>
    </row>
    <row r="433" ht="15.75" customHeight="1" s="552">
      <c r="AG433" s="88" t="n"/>
    </row>
    <row r="434" ht="15.75" customHeight="1" s="552">
      <c r="AG434" s="88" t="n"/>
    </row>
    <row r="435" ht="15.75" customHeight="1" s="552">
      <c r="AG435" s="88" t="n"/>
    </row>
    <row r="436" ht="15.75" customHeight="1" s="552">
      <c r="AG436" s="88" t="n"/>
    </row>
    <row r="437" ht="15.75" customHeight="1" s="552">
      <c r="AG437" s="88" t="n"/>
    </row>
    <row r="438" ht="15.75" customHeight="1" s="552">
      <c r="AG438" s="88" t="n"/>
    </row>
    <row r="439" ht="15.75" customHeight="1" s="552">
      <c r="AG439" s="88" t="n"/>
    </row>
    <row r="440" ht="15.75" customHeight="1" s="552">
      <c r="AG440" s="88" t="n"/>
    </row>
    <row r="441" ht="15.75" customHeight="1" s="552">
      <c r="AG441" s="88" t="n"/>
    </row>
    <row r="442" ht="15.75" customHeight="1" s="552">
      <c r="AG442" s="88" t="n"/>
    </row>
    <row r="443" ht="15.75" customHeight="1" s="552">
      <c r="AG443" s="88" t="n"/>
    </row>
    <row r="444" ht="15.75" customHeight="1" s="552">
      <c r="AG444" s="88" t="n"/>
    </row>
    <row r="445" ht="15.75" customHeight="1" s="552">
      <c r="AG445" s="88" t="n"/>
    </row>
    <row r="446" ht="15.75" customHeight="1" s="552">
      <c r="AG446" s="88" t="n"/>
    </row>
    <row r="447" ht="15.75" customHeight="1" s="552">
      <c r="AG447" s="88" t="n"/>
    </row>
    <row r="448" ht="15.75" customHeight="1" s="552">
      <c r="AG448" s="88" t="n"/>
    </row>
    <row r="449" ht="15.75" customHeight="1" s="552">
      <c r="AG449" s="88" t="n"/>
    </row>
    <row r="450" ht="15.75" customHeight="1" s="552">
      <c r="AG450" s="88" t="n"/>
    </row>
    <row r="451" ht="15.75" customHeight="1" s="552">
      <c r="AG451" s="88" t="n"/>
    </row>
    <row r="452" ht="15.75" customHeight="1" s="552">
      <c r="AG452" s="88" t="n"/>
    </row>
    <row r="453" ht="15.75" customHeight="1" s="552">
      <c r="AG453" s="88" t="n"/>
    </row>
    <row r="454" ht="15.75" customHeight="1" s="552">
      <c r="AG454" s="88" t="n"/>
    </row>
    <row r="455" ht="15.75" customHeight="1" s="552">
      <c r="AG455" s="88" t="n"/>
    </row>
    <row r="456" ht="15.75" customHeight="1" s="552">
      <c r="AG456" s="88" t="n"/>
    </row>
    <row r="457" ht="15.75" customHeight="1" s="552">
      <c r="AG457" s="88" t="n"/>
    </row>
    <row r="458" ht="15.75" customHeight="1" s="552">
      <c r="AG458" s="88" t="n"/>
    </row>
    <row r="459" ht="15.75" customHeight="1" s="552">
      <c r="AG459" s="88" t="n"/>
    </row>
    <row r="460" ht="15.75" customHeight="1" s="552">
      <c r="AG460" s="88" t="n"/>
    </row>
    <row r="461" ht="15.75" customHeight="1" s="552">
      <c r="AG461" s="88" t="n"/>
    </row>
    <row r="462" ht="15.75" customHeight="1" s="552">
      <c r="AG462" s="88" t="n"/>
    </row>
    <row r="463" ht="15.75" customHeight="1" s="552">
      <c r="AG463" s="88" t="n"/>
    </row>
    <row r="464" ht="15.75" customHeight="1" s="552">
      <c r="AG464" s="88" t="n"/>
    </row>
    <row r="465" ht="15.75" customHeight="1" s="552">
      <c r="AG465" s="88" t="n"/>
    </row>
    <row r="466" ht="15.75" customHeight="1" s="552">
      <c r="AG466" s="88" t="n"/>
    </row>
    <row r="467" ht="15.75" customHeight="1" s="552">
      <c r="AG467" s="88" t="n"/>
    </row>
    <row r="468" ht="15.75" customHeight="1" s="552">
      <c r="AG468" s="88" t="n"/>
    </row>
    <row r="469" ht="15.75" customHeight="1" s="552">
      <c r="AG469" s="88" t="n"/>
    </row>
    <row r="470" ht="15.75" customHeight="1" s="552">
      <c r="AG470" s="88" t="n"/>
    </row>
    <row r="471" ht="15.75" customHeight="1" s="552">
      <c r="AG471" s="88" t="n"/>
    </row>
    <row r="472" ht="15.75" customHeight="1" s="552">
      <c r="AG472" s="88" t="n"/>
    </row>
    <row r="473" ht="15.75" customHeight="1" s="552">
      <c r="AG473" s="88" t="n"/>
    </row>
    <row r="474" ht="15.75" customHeight="1" s="552">
      <c r="AG474" s="88" t="n"/>
    </row>
    <row r="475" ht="15.75" customHeight="1" s="552">
      <c r="AG475" s="88" t="n"/>
    </row>
    <row r="476" ht="15.75" customHeight="1" s="552">
      <c r="AG476" s="88" t="n"/>
    </row>
    <row r="477" ht="15.75" customHeight="1" s="552">
      <c r="AG477" s="88" t="n"/>
    </row>
    <row r="478" ht="15.75" customHeight="1" s="552">
      <c r="AG478" s="88" t="n"/>
    </row>
    <row r="479" ht="15.75" customHeight="1" s="552">
      <c r="AG479" s="88" t="n"/>
    </row>
    <row r="480" ht="15.75" customHeight="1" s="552">
      <c r="AG480" s="88" t="n"/>
    </row>
    <row r="481" ht="15.75" customHeight="1" s="552">
      <c r="AG481" s="88" t="n"/>
    </row>
    <row r="482" ht="15.75" customHeight="1" s="552">
      <c r="AG482" s="88" t="n"/>
    </row>
    <row r="483" ht="15.75" customHeight="1" s="552">
      <c r="AG483" s="88" t="n"/>
    </row>
    <row r="484" ht="15.75" customHeight="1" s="552">
      <c r="AG484" s="88" t="n"/>
    </row>
    <row r="485" ht="15.75" customHeight="1" s="552">
      <c r="AG485" s="88" t="n"/>
    </row>
    <row r="486" ht="15.75" customHeight="1" s="552">
      <c r="AG486" s="88" t="n"/>
    </row>
    <row r="487" ht="15.75" customHeight="1" s="552">
      <c r="AG487" s="88" t="n"/>
    </row>
    <row r="488" ht="15.75" customHeight="1" s="552">
      <c r="AG488" s="88" t="n"/>
    </row>
    <row r="489" ht="15.75" customHeight="1" s="552">
      <c r="AG489" s="88" t="n"/>
    </row>
    <row r="490" ht="15.75" customHeight="1" s="552">
      <c r="AG490" s="88" t="n"/>
    </row>
    <row r="491" ht="15.75" customHeight="1" s="552">
      <c r="AG491" s="88" t="n"/>
    </row>
    <row r="492" ht="15.75" customHeight="1" s="552">
      <c r="AG492" s="88" t="n"/>
    </row>
    <row r="493" ht="15.75" customHeight="1" s="552">
      <c r="AG493" s="88" t="n"/>
    </row>
    <row r="494" ht="15.75" customHeight="1" s="552">
      <c r="AG494" s="88" t="n"/>
    </row>
    <row r="495" ht="15.75" customHeight="1" s="552">
      <c r="AG495" s="88" t="n"/>
    </row>
    <row r="496" ht="15.75" customHeight="1" s="552">
      <c r="AG496" s="88" t="n"/>
    </row>
    <row r="497" ht="15.75" customHeight="1" s="552">
      <c r="AG497" s="88" t="n"/>
    </row>
    <row r="498" ht="15.75" customHeight="1" s="552">
      <c r="AG498" s="88" t="n"/>
    </row>
    <row r="499" ht="15.75" customHeight="1" s="552">
      <c r="AG499" s="88" t="n"/>
    </row>
    <row r="500" ht="15.75" customHeight="1" s="552">
      <c r="AG500" s="88" t="n"/>
    </row>
    <row r="501" ht="15.75" customHeight="1" s="552">
      <c r="AG501" s="88" t="n"/>
    </row>
    <row r="502" ht="15.75" customHeight="1" s="552">
      <c r="AG502" s="88" t="n"/>
    </row>
    <row r="503" ht="15.75" customHeight="1" s="552">
      <c r="AG503" s="88" t="n"/>
    </row>
    <row r="504" ht="15.75" customHeight="1" s="552">
      <c r="AG504" s="88" t="n"/>
    </row>
    <row r="505" ht="15.75" customHeight="1" s="552">
      <c r="AG505" s="88" t="n"/>
    </row>
    <row r="506" ht="15.75" customHeight="1" s="552">
      <c r="AG506" s="88" t="n"/>
    </row>
    <row r="507" ht="15.75" customHeight="1" s="552">
      <c r="AG507" s="88" t="n"/>
    </row>
    <row r="508" ht="15.75" customHeight="1" s="552">
      <c r="AG508" s="88" t="n"/>
    </row>
    <row r="509" ht="15.75" customHeight="1" s="552">
      <c r="AG509" s="88" t="n"/>
    </row>
    <row r="510" ht="15.75" customHeight="1" s="552">
      <c r="AG510" s="88" t="n"/>
    </row>
    <row r="511" ht="15.75" customHeight="1" s="552">
      <c r="AG511" s="88" t="n"/>
    </row>
    <row r="512" ht="15.75" customHeight="1" s="552">
      <c r="AG512" s="88" t="n"/>
    </row>
    <row r="513" ht="15.75" customHeight="1" s="552">
      <c r="AG513" s="88" t="n"/>
    </row>
    <row r="514" ht="15.75" customHeight="1" s="552">
      <c r="AG514" s="88" t="n"/>
    </row>
    <row r="515" ht="15.75" customHeight="1" s="552">
      <c r="AG515" s="88" t="n"/>
    </row>
    <row r="516" ht="15.75" customHeight="1" s="552">
      <c r="AG516" s="88" t="n"/>
    </row>
    <row r="517" ht="15.75" customHeight="1" s="552">
      <c r="AG517" s="88" t="n"/>
    </row>
    <row r="518" ht="15.75" customHeight="1" s="552">
      <c r="AG518" s="88" t="n"/>
    </row>
    <row r="519" ht="15.75" customHeight="1" s="552">
      <c r="AG519" s="88" t="n"/>
    </row>
    <row r="520" ht="15.75" customHeight="1" s="552">
      <c r="AG520" s="88" t="n"/>
    </row>
    <row r="521" ht="15.75" customHeight="1" s="552">
      <c r="AG521" s="88" t="n"/>
    </row>
    <row r="522" ht="15.75" customHeight="1" s="552">
      <c r="AG522" s="88" t="n"/>
    </row>
    <row r="523" ht="15.75" customHeight="1" s="552">
      <c r="AG523" s="88" t="n"/>
    </row>
    <row r="524" ht="15.75" customHeight="1" s="552">
      <c r="AG524" s="88" t="n"/>
    </row>
    <row r="525" ht="15.75" customHeight="1" s="552">
      <c r="AG525" s="88" t="n"/>
    </row>
    <row r="526" ht="15.75" customHeight="1" s="552">
      <c r="AG526" s="88" t="n"/>
    </row>
    <row r="527" ht="15.75" customHeight="1" s="552">
      <c r="AG527" s="88" t="n"/>
    </row>
    <row r="528" ht="15.75" customHeight="1" s="552">
      <c r="AG528" s="88" t="n"/>
    </row>
    <row r="529" ht="15.75" customHeight="1" s="552">
      <c r="AG529" s="88" t="n"/>
    </row>
    <row r="530" ht="15.75" customHeight="1" s="552">
      <c r="AG530" s="88" t="n"/>
    </row>
    <row r="531" ht="15.75" customHeight="1" s="552">
      <c r="AG531" s="88" t="n"/>
    </row>
    <row r="532" ht="15.75" customHeight="1" s="552">
      <c r="AG532" s="88" t="n"/>
    </row>
    <row r="533" ht="15.75" customHeight="1" s="552">
      <c r="AG533" s="88" t="n"/>
    </row>
    <row r="534" ht="15.75" customHeight="1" s="552">
      <c r="AG534" s="88" t="n"/>
    </row>
    <row r="535" ht="15.75" customHeight="1" s="552">
      <c r="AG535" s="88" t="n"/>
    </row>
    <row r="536" ht="15.75" customHeight="1" s="552">
      <c r="AG536" s="88" t="n"/>
    </row>
    <row r="537" ht="15.75" customHeight="1" s="552">
      <c r="AG537" s="88" t="n"/>
    </row>
    <row r="538" ht="15.75" customHeight="1" s="552">
      <c r="AG538" s="88" t="n"/>
    </row>
    <row r="539" ht="15.75" customHeight="1" s="552">
      <c r="AG539" s="88" t="n"/>
    </row>
    <row r="540" ht="15.75" customHeight="1" s="552">
      <c r="AG540" s="88" t="n"/>
    </row>
    <row r="541" ht="15.75" customHeight="1" s="552">
      <c r="AG541" s="88" t="n"/>
    </row>
    <row r="542" ht="15.75" customHeight="1" s="552">
      <c r="AG542" s="88" t="n"/>
    </row>
    <row r="543" ht="15.75" customHeight="1" s="552">
      <c r="AG543" s="88" t="n"/>
    </row>
    <row r="544" ht="15.75" customHeight="1" s="552">
      <c r="AG544" s="88" t="n"/>
    </row>
    <row r="545" ht="15.75" customHeight="1" s="552">
      <c r="AG545" s="88" t="n"/>
    </row>
    <row r="546" ht="15.75" customHeight="1" s="552">
      <c r="AG546" s="88" t="n"/>
    </row>
    <row r="547" ht="15.75" customHeight="1" s="552">
      <c r="AG547" s="88" t="n"/>
    </row>
    <row r="548" ht="15.75" customHeight="1" s="552">
      <c r="AG548" s="88" t="n"/>
    </row>
    <row r="549" ht="15.75" customHeight="1" s="552">
      <c r="AG549" s="88" t="n"/>
    </row>
    <row r="550" ht="15.75" customHeight="1" s="552">
      <c r="AG550" s="88" t="n"/>
    </row>
    <row r="551" ht="15.75" customHeight="1" s="552">
      <c r="AG551" s="88" t="n"/>
    </row>
    <row r="552" ht="15.75" customHeight="1" s="552">
      <c r="AG552" s="88" t="n"/>
    </row>
    <row r="553" ht="15.75" customHeight="1" s="552">
      <c r="AG553" s="88" t="n"/>
    </row>
    <row r="554" ht="15.75" customHeight="1" s="552">
      <c r="AG554" s="88" t="n"/>
    </row>
    <row r="555" ht="15.75" customHeight="1" s="552">
      <c r="AG555" s="88" t="n"/>
    </row>
    <row r="556" ht="15.75" customHeight="1" s="552">
      <c r="AG556" s="88" t="n"/>
    </row>
    <row r="557" ht="15.75" customHeight="1" s="552">
      <c r="AG557" s="88" t="n"/>
    </row>
    <row r="558" ht="15.75" customHeight="1" s="552">
      <c r="AG558" s="88" t="n"/>
    </row>
    <row r="559" ht="15.75" customHeight="1" s="552">
      <c r="AG559" s="88" t="n"/>
    </row>
    <row r="560" ht="15.75" customHeight="1" s="552">
      <c r="AG560" s="88" t="n"/>
    </row>
    <row r="561" ht="15.75" customHeight="1" s="552">
      <c r="AG561" s="88" t="n"/>
    </row>
    <row r="562" ht="15.75" customHeight="1" s="552">
      <c r="AG562" s="88" t="n"/>
    </row>
    <row r="563" ht="15.75" customHeight="1" s="552">
      <c r="AG563" s="88" t="n"/>
    </row>
    <row r="564" ht="15.75" customHeight="1" s="552">
      <c r="AG564" s="88" t="n"/>
    </row>
    <row r="565" ht="15.75" customHeight="1" s="552">
      <c r="AG565" s="88" t="n"/>
    </row>
    <row r="566" ht="15.75" customHeight="1" s="552">
      <c r="AG566" s="88" t="n"/>
    </row>
    <row r="567" ht="15.75" customHeight="1" s="552">
      <c r="AG567" s="88" t="n"/>
    </row>
    <row r="568" ht="15.75" customHeight="1" s="552">
      <c r="AG568" s="88" t="n"/>
    </row>
    <row r="569" ht="15.75" customHeight="1" s="552">
      <c r="AG569" s="88" t="n"/>
    </row>
    <row r="570" ht="15.75" customHeight="1" s="552">
      <c r="AG570" s="88" t="n"/>
    </row>
    <row r="571" ht="15.75" customHeight="1" s="552">
      <c r="AG571" s="88" t="n"/>
    </row>
    <row r="572" ht="15.75" customHeight="1" s="552">
      <c r="AG572" s="88" t="n"/>
    </row>
    <row r="573" ht="15.75" customHeight="1" s="552">
      <c r="AG573" s="88" t="n"/>
    </row>
    <row r="574" ht="15.75" customHeight="1" s="552">
      <c r="AG574" s="88" t="n"/>
    </row>
    <row r="575" ht="15.75" customHeight="1" s="552">
      <c r="AG575" s="88" t="n"/>
    </row>
    <row r="576" ht="15.75" customHeight="1" s="552">
      <c r="AG576" s="88" t="n"/>
    </row>
    <row r="577" ht="15.75" customHeight="1" s="552">
      <c r="AG577" s="88" t="n"/>
    </row>
    <row r="578" ht="15.75" customHeight="1" s="552">
      <c r="AG578" s="88" t="n"/>
    </row>
    <row r="579" ht="15.75" customHeight="1" s="552">
      <c r="AG579" s="88" t="n"/>
    </row>
    <row r="580" ht="15.75" customHeight="1" s="552">
      <c r="AG580" s="88" t="n"/>
    </row>
    <row r="581" ht="15.75" customHeight="1" s="552">
      <c r="AG581" s="88" t="n"/>
    </row>
    <row r="582" ht="15.75" customHeight="1" s="552">
      <c r="AG582" s="88" t="n"/>
    </row>
    <row r="583" ht="15.75" customHeight="1" s="552">
      <c r="AG583" s="88" t="n"/>
    </row>
    <row r="584" ht="15.75" customHeight="1" s="552">
      <c r="AG584" s="88" t="n"/>
    </row>
    <row r="585" ht="15.75" customHeight="1" s="552">
      <c r="AG585" s="88" t="n"/>
    </row>
    <row r="586" ht="15.75" customHeight="1" s="552">
      <c r="AG586" s="88" t="n"/>
    </row>
    <row r="587" ht="15.75" customHeight="1" s="552">
      <c r="AG587" s="88" t="n"/>
    </row>
    <row r="588" ht="15.75" customHeight="1" s="552">
      <c r="AG588" s="88" t="n"/>
    </row>
    <row r="589" ht="15.75" customHeight="1" s="552">
      <c r="AG589" s="88" t="n"/>
    </row>
    <row r="590" ht="15.75" customHeight="1" s="552">
      <c r="AG590" s="88" t="n"/>
    </row>
    <row r="591" ht="15.75" customHeight="1" s="552">
      <c r="AG591" s="88" t="n"/>
    </row>
    <row r="592" ht="15.75" customHeight="1" s="552">
      <c r="AG592" s="88" t="n"/>
    </row>
    <row r="593" ht="15.75" customHeight="1" s="552">
      <c r="AG593" s="88" t="n"/>
    </row>
    <row r="594" ht="15.75" customHeight="1" s="552">
      <c r="AG594" s="88" t="n"/>
    </row>
    <row r="595" ht="15.75" customHeight="1" s="552">
      <c r="AG595" s="88" t="n"/>
    </row>
    <row r="596" ht="15.75" customHeight="1" s="552">
      <c r="AG596" s="88" t="n"/>
    </row>
    <row r="597" ht="15.75" customHeight="1" s="552">
      <c r="AG597" s="88" t="n"/>
    </row>
    <row r="598" ht="15.75" customHeight="1" s="552">
      <c r="AG598" s="88" t="n"/>
    </row>
    <row r="599" ht="15.75" customHeight="1" s="552">
      <c r="AG599" s="88" t="n"/>
    </row>
    <row r="600" ht="15.75" customHeight="1" s="552">
      <c r="AG600" s="88" t="n"/>
    </row>
    <row r="601" ht="15.75" customHeight="1" s="552">
      <c r="AG601" s="88" t="n"/>
    </row>
    <row r="602" ht="15.75" customHeight="1" s="552">
      <c r="AG602" s="88" t="n"/>
    </row>
    <row r="603" ht="15.75" customHeight="1" s="552">
      <c r="AG603" s="88" t="n"/>
    </row>
    <row r="604" ht="15.75" customHeight="1" s="552">
      <c r="AG604" s="88" t="n"/>
    </row>
    <row r="605" ht="15.75" customHeight="1" s="552">
      <c r="AG605" s="88" t="n"/>
    </row>
    <row r="606" ht="15.75" customHeight="1" s="552">
      <c r="AG606" s="88" t="n"/>
    </row>
    <row r="607" ht="15.75" customHeight="1" s="552">
      <c r="AG607" s="88" t="n"/>
    </row>
    <row r="608" ht="15.75" customHeight="1" s="552">
      <c r="AG608" s="88" t="n"/>
    </row>
    <row r="609" ht="15.75" customHeight="1" s="552">
      <c r="AG609" s="88" t="n"/>
    </row>
    <row r="610" ht="15.75" customHeight="1" s="552">
      <c r="AG610" s="88" t="n"/>
    </row>
    <row r="611" ht="15.75" customHeight="1" s="552">
      <c r="AG611" s="88" t="n"/>
    </row>
    <row r="612" ht="15.75" customHeight="1" s="552">
      <c r="AG612" s="88" t="n"/>
    </row>
    <row r="613" ht="15.75" customHeight="1" s="552">
      <c r="AG613" s="88" t="n"/>
    </row>
    <row r="614" ht="15.75" customHeight="1" s="552">
      <c r="AG614" s="88" t="n"/>
    </row>
    <row r="615" ht="15.75" customHeight="1" s="552">
      <c r="AG615" s="88" t="n"/>
    </row>
    <row r="616" ht="15.75" customHeight="1" s="552">
      <c r="AG616" s="88" t="n"/>
    </row>
    <row r="617" ht="15.75" customHeight="1" s="552">
      <c r="AG617" s="88" t="n"/>
    </row>
    <row r="618" ht="15.75" customHeight="1" s="552">
      <c r="AG618" s="88" t="n"/>
    </row>
    <row r="619" ht="15.75" customHeight="1" s="552">
      <c r="AG619" s="88" t="n"/>
    </row>
    <row r="620" ht="15.75" customHeight="1" s="552">
      <c r="AG620" s="88" t="n"/>
    </row>
    <row r="621" ht="15.75" customHeight="1" s="552">
      <c r="AG621" s="88" t="n"/>
    </row>
    <row r="622" ht="15.75" customHeight="1" s="552">
      <c r="AG622" s="88" t="n"/>
    </row>
    <row r="623" ht="15.75" customHeight="1" s="552">
      <c r="AG623" s="88" t="n"/>
    </row>
    <row r="624" ht="15.75" customHeight="1" s="552">
      <c r="AG624" s="88" t="n"/>
    </row>
    <row r="625" ht="15.75" customHeight="1" s="552">
      <c r="AG625" s="88" t="n"/>
    </row>
    <row r="626" ht="15.75" customHeight="1" s="552">
      <c r="AG626" s="88" t="n"/>
    </row>
    <row r="627" ht="15.75" customHeight="1" s="552">
      <c r="AG627" s="88" t="n"/>
    </row>
    <row r="628" ht="15.75" customHeight="1" s="552">
      <c r="AG628" s="88" t="n"/>
    </row>
    <row r="629" ht="15.75" customHeight="1" s="552">
      <c r="AG629" s="88" t="n"/>
    </row>
    <row r="630" ht="15.75" customHeight="1" s="552">
      <c r="AG630" s="88" t="n"/>
    </row>
    <row r="631" ht="15.75" customHeight="1" s="552">
      <c r="AG631" s="88" t="n"/>
    </row>
    <row r="632" ht="15.75" customHeight="1" s="552">
      <c r="AG632" s="88" t="n"/>
    </row>
    <row r="633" ht="15.75" customHeight="1" s="552">
      <c r="AG633" s="88" t="n"/>
    </row>
    <row r="634" ht="15.75" customHeight="1" s="552">
      <c r="AG634" s="88" t="n"/>
    </row>
    <row r="635" ht="15.75" customHeight="1" s="552">
      <c r="AG635" s="88" t="n"/>
    </row>
    <row r="636" ht="15.75" customHeight="1" s="552">
      <c r="AG636" s="88" t="n"/>
    </row>
    <row r="637" ht="15.75" customHeight="1" s="552">
      <c r="AG637" s="88" t="n"/>
    </row>
    <row r="638" ht="15.75" customHeight="1" s="552">
      <c r="AG638" s="88" t="n"/>
    </row>
    <row r="639" ht="15.75" customHeight="1" s="552">
      <c r="AG639" s="88" t="n"/>
    </row>
    <row r="640" ht="15.75" customHeight="1" s="552">
      <c r="AG640" s="88" t="n"/>
    </row>
    <row r="641" ht="15.75" customHeight="1" s="552">
      <c r="AG641" s="88" t="n"/>
    </row>
    <row r="642" ht="15.75" customHeight="1" s="552">
      <c r="AG642" s="88" t="n"/>
    </row>
    <row r="643" ht="15.75" customHeight="1" s="552">
      <c r="AG643" s="88" t="n"/>
    </row>
    <row r="644" ht="15.75" customHeight="1" s="552">
      <c r="AG644" s="88" t="n"/>
    </row>
    <row r="645" ht="15.75" customHeight="1" s="552">
      <c r="AG645" s="88" t="n"/>
    </row>
    <row r="646" ht="15.75" customHeight="1" s="552">
      <c r="AG646" s="88" t="n"/>
    </row>
    <row r="647" ht="15.75" customHeight="1" s="552">
      <c r="AG647" s="88" t="n"/>
    </row>
    <row r="648" ht="15.75" customHeight="1" s="552">
      <c r="AG648" s="88" t="n"/>
    </row>
    <row r="649" ht="15.75" customHeight="1" s="552">
      <c r="AG649" s="88" t="n"/>
    </row>
    <row r="650" ht="15.75" customHeight="1" s="552">
      <c r="AG650" s="88" t="n"/>
    </row>
    <row r="651" ht="15.75" customHeight="1" s="552">
      <c r="AG651" s="88" t="n"/>
    </row>
    <row r="652" ht="15.75" customHeight="1" s="552">
      <c r="AG652" s="88" t="n"/>
    </row>
    <row r="653" ht="15.75" customHeight="1" s="552">
      <c r="AG653" s="88" t="n"/>
    </row>
    <row r="654" ht="15.75" customHeight="1" s="552">
      <c r="AG654" s="88" t="n"/>
    </row>
    <row r="655" ht="15.75" customHeight="1" s="552">
      <c r="AG655" s="88" t="n"/>
    </row>
    <row r="656" ht="15.75" customHeight="1" s="552">
      <c r="AG656" s="88" t="n"/>
    </row>
    <row r="657" ht="15.75" customHeight="1" s="552">
      <c r="AG657" s="88" t="n"/>
    </row>
    <row r="658" ht="15.75" customHeight="1" s="552">
      <c r="AG658" s="88" t="n"/>
    </row>
    <row r="659" ht="15.75" customHeight="1" s="552">
      <c r="AG659" s="88" t="n"/>
    </row>
    <row r="660" ht="15.75" customHeight="1" s="552">
      <c r="AG660" s="88" t="n"/>
    </row>
    <row r="661" ht="15.75" customHeight="1" s="552">
      <c r="AG661" s="88" t="n"/>
    </row>
    <row r="662" ht="15.75" customHeight="1" s="552">
      <c r="AG662" s="88" t="n"/>
    </row>
    <row r="663" ht="15.75" customHeight="1" s="552">
      <c r="AG663" s="88" t="n"/>
    </row>
    <row r="664" ht="15.75" customHeight="1" s="552">
      <c r="AG664" s="88" t="n"/>
    </row>
    <row r="665" ht="15.75" customHeight="1" s="552">
      <c r="AG665" s="88" t="n"/>
    </row>
    <row r="666" ht="15.75" customHeight="1" s="552">
      <c r="AG666" s="88" t="n"/>
    </row>
    <row r="667" ht="15.75" customHeight="1" s="552">
      <c r="AG667" s="88" t="n"/>
    </row>
    <row r="668" ht="15.75" customHeight="1" s="552">
      <c r="AG668" s="88" t="n"/>
    </row>
    <row r="669" ht="15.75" customHeight="1" s="552">
      <c r="AG669" s="88" t="n"/>
    </row>
    <row r="670" ht="15.75" customHeight="1" s="552">
      <c r="AG670" s="88" t="n"/>
    </row>
    <row r="671" ht="15.75" customHeight="1" s="552">
      <c r="AG671" s="88" t="n"/>
    </row>
    <row r="672" ht="15.75" customHeight="1" s="552">
      <c r="AG672" s="88" t="n"/>
    </row>
    <row r="673" ht="15.75" customHeight="1" s="552">
      <c r="AG673" s="88" t="n"/>
    </row>
    <row r="674" ht="15.75" customHeight="1" s="552">
      <c r="AG674" s="88" t="n"/>
    </row>
    <row r="675" ht="15.75" customHeight="1" s="552">
      <c r="AG675" s="88" t="n"/>
    </row>
    <row r="676" ht="15.75" customHeight="1" s="552">
      <c r="AG676" s="88" t="n"/>
    </row>
    <row r="677" ht="15.75" customHeight="1" s="552">
      <c r="AG677" s="88" t="n"/>
    </row>
    <row r="678" ht="15.75" customHeight="1" s="552">
      <c r="AG678" s="88" t="n"/>
    </row>
    <row r="679" ht="15.75" customHeight="1" s="552">
      <c r="AG679" s="88" t="n"/>
    </row>
    <row r="680" ht="15.75" customHeight="1" s="552">
      <c r="AG680" s="88" t="n"/>
    </row>
    <row r="681" ht="15.75" customHeight="1" s="552">
      <c r="AG681" s="88" t="n"/>
    </row>
    <row r="682" ht="15.75" customHeight="1" s="552">
      <c r="AG682" s="88" t="n"/>
    </row>
    <row r="683" ht="15.75" customHeight="1" s="552">
      <c r="AG683" s="88" t="n"/>
    </row>
    <row r="684" ht="15.75" customHeight="1" s="552">
      <c r="AG684" s="88" t="n"/>
    </row>
    <row r="685" ht="15.75" customHeight="1" s="552">
      <c r="AG685" s="88" t="n"/>
    </row>
    <row r="686" ht="15.75" customHeight="1" s="552">
      <c r="AG686" s="88" t="n"/>
    </row>
    <row r="687" ht="15.75" customHeight="1" s="552">
      <c r="AG687" s="88" t="n"/>
    </row>
    <row r="688" ht="15.75" customHeight="1" s="552">
      <c r="AG688" s="88" t="n"/>
    </row>
    <row r="689" ht="15.75" customHeight="1" s="552">
      <c r="AG689" s="88" t="n"/>
    </row>
    <row r="690" ht="15.75" customHeight="1" s="552">
      <c r="AG690" s="88" t="n"/>
    </row>
    <row r="691" ht="15.75" customHeight="1" s="552">
      <c r="AG691" s="88" t="n"/>
    </row>
    <row r="692" ht="15.75" customHeight="1" s="552">
      <c r="AG692" s="88" t="n"/>
    </row>
    <row r="693" ht="15.75" customHeight="1" s="552">
      <c r="AG693" s="88" t="n"/>
    </row>
    <row r="694" ht="15.75" customHeight="1" s="552">
      <c r="AG694" s="88" t="n"/>
    </row>
    <row r="695" ht="15.75" customHeight="1" s="552">
      <c r="AG695" s="88" t="n"/>
    </row>
    <row r="696" ht="15.75" customHeight="1" s="552">
      <c r="AG696" s="88" t="n"/>
    </row>
    <row r="697" ht="15.75" customHeight="1" s="552">
      <c r="AG697" s="88" t="n"/>
    </row>
    <row r="698" ht="15.75" customHeight="1" s="552">
      <c r="AG698" s="88" t="n"/>
    </row>
    <row r="699" ht="15.75" customHeight="1" s="552">
      <c r="AG699" s="88" t="n"/>
    </row>
    <row r="700" ht="15.75" customHeight="1" s="552">
      <c r="AG700" s="88" t="n"/>
    </row>
    <row r="701" ht="15.75" customHeight="1" s="552">
      <c r="AG701" s="88" t="n"/>
    </row>
    <row r="702" ht="15.75" customHeight="1" s="552">
      <c r="AG702" s="88" t="n"/>
    </row>
    <row r="703" ht="15.75" customHeight="1" s="552">
      <c r="AG703" s="88" t="n"/>
    </row>
    <row r="704" ht="15.75" customHeight="1" s="552">
      <c r="AG704" s="88" t="n"/>
    </row>
    <row r="705" ht="15.75" customHeight="1" s="552">
      <c r="AG705" s="88" t="n"/>
    </row>
    <row r="706" ht="15.75" customHeight="1" s="552">
      <c r="AG706" s="88" t="n"/>
    </row>
    <row r="707" ht="15.75" customHeight="1" s="552">
      <c r="AG707" s="88" t="n"/>
    </row>
    <row r="708" ht="15.75" customHeight="1" s="552">
      <c r="AG708" s="88" t="n"/>
    </row>
    <row r="709" ht="15.75" customHeight="1" s="552">
      <c r="AG709" s="88" t="n"/>
    </row>
    <row r="710" ht="15.75" customHeight="1" s="552">
      <c r="AG710" s="88" t="n"/>
    </row>
    <row r="711" ht="15.75" customHeight="1" s="552">
      <c r="AG711" s="88" t="n"/>
    </row>
    <row r="712" ht="15.75" customHeight="1" s="552">
      <c r="AG712" s="88" t="n"/>
    </row>
    <row r="713" ht="15.75" customHeight="1" s="552">
      <c r="AG713" s="88" t="n"/>
    </row>
    <row r="714" ht="15.75" customHeight="1" s="552">
      <c r="AG714" s="88" t="n"/>
    </row>
    <row r="715" ht="15.75" customHeight="1" s="552">
      <c r="AG715" s="88" t="n"/>
    </row>
    <row r="716" ht="15.75" customHeight="1" s="552">
      <c r="AG716" s="88" t="n"/>
    </row>
    <row r="717" ht="15.75" customHeight="1" s="552">
      <c r="AG717" s="88" t="n"/>
    </row>
    <row r="718" ht="15.75" customHeight="1" s="552">
      <c r="AG718" s="88" t="n"/>
    </row>
    <row r="719" ht="15.75" customHeight="1" s="552">
      <c r="AG719" s="88" t="n"/>
    </row>
    <row r="720" ht="15.75" customHeight="1" s="552">
      <c r="AG720" s="88" t="n"/>
    </row>
    <row r="721" ht="15.75" customHeight="1" s="552">
      <c r="AG721" s="88" t="n"/>
    </row>
    <row r="722" ht="15.75" customHeight="1" s="552">
      <c r="AG722" s="88" t="n"/>
    </row>
    <row r="723" ht="15.75" customHeight="1" s="552">
      <c r="AG723" s="88" t="n"/>
    </row>
    <row r="724" ht="15.75" customHeight="1" s="552">
      <c r="AG724" s="88" t="n"/>
    </row>
    <row r="725" ht="15.75" customHeight="1" s="552">
      <c r="AG725" s="88" t="n"/>
    </row>
    <row r="726" ht="15.75" customHeight="1" s="552">
      <c r="AG726" s="88" t="n"/>
    </row>
    <row r="727" ht="15.75" customHeight="1" s="552">
      <c r="AG727" s="88" t="n"/>
    </row>
    <row r="728" ht="15.75" customHeight="1" s="552">
      <c r="AG728" s="88" t="n"/>
    </row>
    <row r="729" ht="15.75" customHeight="1" s="552">
      <c r="AG729" s="88" t="n"/>
    </row>
    <row r="730" ht="15.75" customHeight="1" s="552">
      <c r="AG730" s="88" t="n"/>
    </row>
    <row r="731" ht="15.75" customHeight="1" s="552">
      <c r="AG731" s="88" t="n"/>
    </row>
    <row r="732" ht="15.75" customHeight="1" s="552">
      <c r="AG732" s="88" t="n"/>
    </row>
    <row r="733" ht="15.75" customHeight="1" s="552">
      <c r="AG733" s="88" t="n"/>
    </row>
    <row r="734" ht="15.75" customHeight="1" s="552">
      <c r="AG734" s="88" t="n"/>
    </row>
    <row r="735" ht="15.75" customHeight="1" s="552">
      <c r="AG735" s="88" t="n"/>
    </row>
    <row r="736" ht="15.75" customHeight="1" s="552">
      <c r="AG736" s="88" t="n"/>
    </row>
    <row r="737" ht="15.75" customHeight="1" s="552">
      <c r="AG737" s="88" t="n"/>
    </row>
    <row r="738" ht="15.75" customHeight="1" s="552">
      <c r="AG738" s="88" t="n"/>
    </row>
    <row r="739" ht="15.75" customHeight="1" s="552">
      <c r="AG739" s="88" t="n"/>
    </row>
    <row r="740" ht="15.75" customHeight="1" s="552">
      <c r="AG740" s="88" t="n"/>
    </row>
    <row r="741" ht="15.75" customHeight="1" s="552">
      <c r="AG741" s="88" t="n"/>
    </row>
    <row r="742" ht="15.75" customHeight="1" s="552">
      <c r="AG742" s="88" t="n"/>
    </row>
    <row r="743" ht="15.75" customHeight="1" s="552">
      <c r="AG743" s="88" t="n"/>
    </row>
    <row r="744" ht="15.75" customHeight="1" s="552">
      <c r="AG744" s="88" t="n"/>
    </row>
    <row r="745" ht="15.75" customHeight="1" s="552">
      <c r="AG745" s="88" t="n"/>
    </row>
    <row r="746" ht="15.75" customHeight="1" s="552">
      <c r="AG746" s="88" t="n"/>
    </row>
    <row r="747" ht="15.75" customHeight="1" s="552">
      <c r="AG747" s="88" t="n"/>
    </row>
    <row r="748" ht="15.75" customHeight="1" s="552">
      <c r="AG748" s="88" t="n"/>
    </row>
    <row r="749" ht="15.75" customHeight="1" s="552">
      <c r="AG749" s="88" t="n"/>
    </row>
    <row r="750" ht="15.75" customHeight="1" s="552">
      <c r="AG750" s="88" t="n"/>
    </row>
    <row r="751" ht="15.75" customHeight="1" s="552">
      <c r="AG751" s="88" t="n"/>
    </row>
    <row r="752" ht="15.75" customHeight="1" s="552">
      <c r="AG752" s="88" t="n"/>
    </row>
    <row r="753" ht="15.75" customHeight="1" s="552">
      <c r="AG753" s="88" t="n"/>
    </row>
    <row r="754" ht="15.75" customHeight="1" s="552">
      <c r="AG754" s="88" t="n"/>
    </row>
    <row r="755" ht="15.75" customHeight="1" s="552">
      <c r="AG755" s="88" t="n"/>
    </row>
    <row r="756" ht="15.75" customHeight="1" s="552">
      <c r="AG756" s="88" t="n"/>
    </row>
    <row r="757" ht="15.75" customHeight="1" s="552">
      <c r="AG757" s="88" t="n"/>
    </row>
    <row r="758" ht="15.75" customHeight="1" s="552">
      <c r="AG758" s="88" t="n"/>
    </row>
    <row r="759" ht="15.75" customHeight="1" s="552">
      <c r="AG759" s="88" t="n"/>
    </row>
    <row r="760" ht="15.75" customHeight="1" s="552">
      <c r="AG760" s="88" t="n"/>
    </row>
    <row r="761" ht="15.75" customHeight="1" s="552">
      <c r="AG761" s="88" t="n"/>
    </row>
    <row r="762" ht="15.75" customHeight="1" s="552">
      <c r="AG762" s="88" t="n"/>
    </row>
    <row r="763" ht="15.75" customHeight="1" s="552">
      <c r="AG763" s="88" t="n"/>
    </row>
    <row r="764" ht="15.75" customHeight="1" s="552">
      <c r="AG764" s="88" t="n"/>
    </row>
    <row r="765" ht="15.75" customHeight="1" s="552">
      <c r="AG765" s="88" t="n"/>
    </row>
    <row r="766" ht="15.75" customHeight="1" s="552">
      <c r="AG766" s="88" t="n"/>
    </row>
    <row r="767" ht="15.75" customHeight="1" s="552">
      <c r="AG767" s="88" t="n"/>
    </row>
    <row r="768" ht="15.75" customHeight="1" s="552">
      <c r="AG768" s="88" t="n"/>
    </row>
    <row r="769" ht="15.75" customHeight="1" s="552">
      <c r="AG769" s="88" t="n"/>
    </row>
    <row r="770" ht="15.75" customHeight="1" s="552">
      <c r="AG770" s="88" t="n"/>
    </row>
    <row r="771" ht="15.75" customHeight="1" s="552">
      <c r="AG771" s="88" t="n"/>
    </row>
    <row r="772" ht="15.75" customHeight="1" s="552">
      <c r="AG772" s="88" t="n"/>
    </row>
    <row r="773" ht="15.75" customHeight="1" s="552">
      <c r="AG773" s="88" t="n"/>
    </row>
    <row r="774" ht="15.75" customHeight="1" s="552">
      <c r="AG774" s="88" t="n"/>
    </row>
    <row r="775" ht="15.75" customHeight="1" s="552">
      <c r="AG775" s="88" t="n"/>
    </row>
    <row r="776" ht="15.75" customHeight="1" s="552">
      <c r="AG776" s="88" t="n"/>
    </row>
    <row r="777" ht="15.75" customHeight="1" s="552">
      <c r="AG777" s="88" t="n"/>
    </row>
    <row r="778" ht="15.75" customHeight="1" s="552">
      <c r="AG778" s="88" t="n"/>
    </row>
    <row r="779" ht="15.75" customHeight="1" s="552">
      <c r="AG779" s="88" t="n"/>
    </row>
    <row r="780" ht="15.75" customHeight="1" s="552">
      <c r="AG780" s="88" t="n"/>
    </row>
    <row r="781" ht="15.75" customHeight="1" s="552">
      <c r="AG781" s="88" t="n"/>
    </row>
    <row r="782" ht="15.75" customHeight="1" s="552">
      <c r="AG782" s="88" t="n"/>
    </row>
    <row r="783" ht="15.75" customHeight="1" s="552">
      <c r="AG783" s="88" t="n"/>
    </row>
    <row r="784" ht="15.75" customHeight="1" s="552">
      <c r="AG784" s="88" t="n"/>
    </row>
    <row r="785" ht="15.75" customHeight="1" s="552">
      <c r="AG785" s="88" t="n"/>
    </row>
    <row r="786" ht="15.75" customHeight="1" s="552">
      <c r="AG786" s="88" t="n"/>
    </row>
    <row r="787" ht="15.75" customHeight="1" s="552">
      <c r="AG787" s="88" t="n"/>
    </row>
    <row r="788" ht="15.75" customHeight="1" s="552">
      <c r="AG788" s="88" t="n"/>
    </row>
    <row r="789" ht="15.75" customHeight="1" s="552">
      <c r="AG789" s="88" t="n"/>
    </row>
    <row r="790" ht="15.75" customHeight="1" s="552">
      <c r="AG790" s="88" t="n"/>
    </row>
    <row r="791" ht="15.75" customHeight="1" s="552">
      <c r="AG791" s="88" t="n"/>
    </row>
    <row r="792" ht="15.75" customHeight="1" s="552">
      <c r="AG792" s="88" t="n"/>
    </row>
    <row r="793" ht="15.75" customHeight="1" s="552">
      <c r="AG793" s="88" t="n"/>
    </row>
    <row r="794" ht="15.75" customHeight="1" s="552">
      <c r="AG794" s="88" t="n"/>
    </row>
    <row r="795" ht="15.75" customHeight="1" s="552">
      <c r="AG795" s="88" t="n"/>
    </row>
    <row r="796" ht="15.75" customHeight="1" s="552">
      <c r="AG796" s="88" t="n"/>
    </row>
    <row r="797" ht="15.75" customHeight="1" s="552">
      <c r="AG797" s="88" t="n"/>
    </row>
    <row r="798" ht="15.75" customHeight="1" s="552">
      <c r="AG798" s="88" t="n"/>
    </row>
    <row r="799" ht="15.75" customHeight="1" s="552">
      <c r="AG799" s="88" t="n"/>
    </row>
    <row r="800" ht="15.75" customHeight="1" s="552">
      <c r="AG800" s="88" t="n"/>
    </row>
    <row r="801" ht="15.75" customHeight="1" s="552">
      <c r="AG801" s="88" t="n"/>
    </row>
    <row r="802" ht="15.75" customHeight="1" s="552">
      <c r="AG802" s="88" t="n"/>
    </row>
    <row r="803" ht="15.75" customHeight="1" s="552">
      <c r="AG803" s="88" t="n"/>
    </row>
    <row r="804" ht="15.75" customHeight="1" s="552">
      <c r="AG804" s="88" t="n"/>
    </row>
    <row r="805" ht="15.75" customHeight="1" s="552">
      <c r="AG805" s="88" t="n"/>
    </row>
    <row r="806" ht="15.75" customHeight="1" s="552">
      <c r="AG806" s="88" t="n"/>
    </row>
    <row r="807" ht="15.75" customHeight="1" s="552">
      <c r="AG807" s="88" t="n"/>
    </row>
    <row r="808" ht="15.75" customHeight="1" s="552">
      <c r="AG808" s="88" t="n"/>
    </row>
    <row r="809" ht="15.75" customHeight="1" s="552">
      <c r="AG809" s="88" t="n"/>
    </row>
    <row r="810" ht="15.75" customHeight="1" s="552">
      <c r="AG810" s="88" t="n"/>
    </row>
    <row r="811" ht="15.75" customHeight="1" s="552">
      <c r="AG811" s="88" t="n"/>
    </row>
    <row r="812" ht="15.75" customHeight="1" s="552">
      <c r="AG812" s="88" t="n"/>
    </row>
    <row r="813" ht="15.75" customHeight="1" s="552">
      <c r="AG813" s="88" t="n"/>
    </row>
    <row r="814" ht="15.75" customHeight="1" s="552">
      <c r="AG814" s="88" t="n"/>
    </row>
    <row r="815" ht="15.75" customHeight="1" s="552">
      <c r="AG815" s="88" t="n"/>
    </row>
    <row r="816" ht="15.75" customHeight="1" s="552">
      <c r="AG816" s="88" t="n"/>
    </row>
    <row r="817" ht="15.75" customHeight="1" s="552">
      <c r="AG817" s="88" t="n"/>
    </row>
    <row r="818" ht="15.75" customHeight="1" s="552">
      <c r="AG818" s="88" t="n"/>
    </row>
    <row r="819" ht="15.75" customHeight="1" s="552">
      <c r="AG819" s="88" t="n"/>
    </row>
    <row r="820" ht="15.75" customHeight="1" s="552">
      <c r="AG820" s="88" t="n"/>
    </row>
    <row r="821" ht="15.75" customHeight="1" s="552">
      <c r="AG821" s="88" t="n"/>
    </row>
    <row r="822" ht="15.75" customHeight="1" s="552">
      <c r="AG822" s="88" t="n"/>
    </row>
    <row r="823" ht="15.75" customHeight="1" s="552">
      <c r="AG823" s="88" t="n"/>
    </row>
    <row r="824" ht="15.75" customHeight="1" s="552">
      <c r="AG824" s="88" t="n"/>
    </row>
    <row r="825" ht="15.75" customHeight="1" s="552">
      <c r="AG825" s="88" t="n"/>
    </row>
    <row r="826" ht="15.75" customHeight="1" s="552">
      <c r="AG826" s="88" t="n"/>
    </row>
    <row r="827" ht="15.75" customHeight="1" s="552">
      <c r="AG827" s="88" t="n"/>
    </row>
    <row r="828" ht="15.75" customHeight="1" s="552">
      <c r="AG828" s="88" t="n"/>
    </row>
    <row r="829" ht="15.75" customHeight="1" s="552">
      <c r="AG829" s="88" t="n"/>
    </row>
    <row r="830" ht="15.75" customHeight="1" s="552">
      <c r="AG830" s="88" t="n"/>
    </row>
    <row r="831" ht="15.75" customHeight="1" s="552">
      <c r="AG831" s="88" t="n"/>
    </row>
    <row r="832" ht="15.75" customHeight="1" s="552">
      <c r="AG832" s="88" t="n"/>
    </row>
    <row r="833" ht="15.75" customHeight="1" s="552">
      <c r="AG833" s="88" t="n"/>
    </row>
    <row r="834" ht="15.75" customHeight="1" s="552">
      <c r="AG834" s="88" t="n"/>
    </row>
    <row r="835" ht="15.75" customHeight="1" s="552">
      <c r="AG835" s="88" t="n"/>
    </row>
    <row r="836" ht="15.75" customHeight="1" s="552">
      <c r="AG836" s="88" t="n"/>
    </row>
    <row r="837" ht="15.75" customHeight="1" s="552">
      <c r="AG837" s="88" t="n"/>
    </row>
    <row r="838" ht="15.75" customHeight="1" s="552">
      <c r="AG838" s="88" t="n"/>
    </row>
    <row r="839" ht="15.75" customHeight="1" s="552">
      <c r="AG839" s="88" t="n"/>
    </row>
    <row r="840" ht="15.75" customHeight="1" s="552">
      <c r="AG840" s="88" t="n"/>
    </row>
    <row r="841" ht="15.75" customHeight="1" s="552">
      <c r="AG841" s="88" t="n"/>
    </row>
    <row r="842" ht="15.75" customHeight="1" s="552">
      <c r="AG842" s="88" t="n"/>
    </row>
    <row r="843" ht="15.75" customHeight="1" s="552">
      <c r="AG843" s="88" t="n"/>
    </row>
    <row r="844" ht="15.75" customHeight="1" s="552">
      <c r="AG844" s="88" t="n"/>
    </row>
    <row r="845" ht="15.75" customHeight="1" s="552">
      <c r="AG845" s="88" t="n"/>
    </row>
    <row r="846" ht="15.75" customHeight="1" s="552">
      <c r="AG846" s="88" t="n"/>
    </row>
    <row r="847" ht="15.75" customHeight="1" s="552">
      <c r="AG847" s="88" t="n"/>
    </row>
    <row r="848" ht="15.75" customHeight="1" s="552">
      <c r="AG848" s="88" t="n"/>
    </row>
    <row r="849" ht="15.75" customHeight="1" s="552">
      <c r="AG849" s="88" t="n"/>
    </row>
    <row r="850" ht="15.75" customHeight="1" s="552">
      <c r="AG850" s="88" t="n"/>
    </row>
    <row r="851" ht="15.75" customHeight="1" s="552">
      <c r="AG851" s="88" t="n"/>
    </row>
    <row r="852" ht="15.75" customHeight="1" s="552">
      <c r="AG852" s="88" t="n"/>
    </row>
    <row r="853" ht="15.75" customHeight="1" s="552">
      <c r="AG853" s="88" t="n"/>
    </row>
    <row r="854" ht="15.75" customHeight="1" s="552">
      <c r="AG854" s="88" t="n"/>
    </row>
    <row r="855" ht="15.75" customHeight="1" s="552">
      <c r="AG855" s="88" t="n"/>
    </row>
    <row r="856" ht="15.75" customHeight="1" s="552">
      <c r="AG856" s="88" t="n"/>
    </row>
    <row r="857" ht="15.75" customHeight="1" s="552">
      <c r="AG857" s="88" t="n"/>
    </row>
    <row r="858" ht="15.75" customHeight="1" s="552">
      <c r="AG858" s="88" t="n"/>
    </row>
    <row r="859" ht="15.75" customHeight="1" s="552">
      <c r="AG859" s="88" t="n"/>
    </row>
    <row r="860" ht="15.75" customHeight="1" s="552">
      <c r="AG860" s="88" t="n"/>
    </row>
    <row r="861" ht="15.75" customHeight="1" s="552">
      <c r="AG861" s="88" t="n"/>
    </row>
    <row r="862" ht="15.75" customHeight="1" s="552">
      <c r="AG862" s="88" t="n"/>
    </row>
    <row r="863" ht="15.75" customHeight="1" s="552">
      <c r="AG863" s="88" t="n"/>
    </row>
    <row r="864" ht="15.75" customHeight="1" s="552">
      <c r="AG864" s="88" t="n"/>
    </row>
    <row r="865" ht="15.75" customHeight="1" s="552">
      <c r="AG865" s="88" t="n"/>
    </row>
    <row r="866" ht="15.75" customHeight="1" s="552">
      <c r="AG866" s="88" t="n"/>
    </row>
    <row r="867" ht="15.75" customHeight="1" s="552">
      <c r="AG867" s="88" t="n"/>
    </row>
    <row r="868" ht="15.75" customHeight="1" s="552">
      <c r="AG868" s="88" t="n"/>
    </row>
    <row r="869" ht="15.75" customHeight="1" s="552">
      <c r="AG869" s="88" t="n"/>
    </row>
    <row r="870" ht="15.75" customHeight="1" s="552">
      <c r="AG870" s="88" t="n"/>
    </row>
    <row r="871" ht="15.75" customHeight="1" s="552">
      <c r="AG871" s="88" t="n"/>
    </row>
    <row r="872" ht="15.75" customHeight="1" s="552">
      <c r="AG872" s="88" t="n"/>
    </row>
    <row r="873" ht="15.75" customHeight="1" s="552">
      <c r="AG873" s="88" t="n"/>
    </row>
    <row r="874" ht="15.75" customHeight="1" s="552">
      <c r="AG874" s="88" t="n"/>
    </row>
    <row r="875" ht="15.75" customHeight="1" s="552">
      <c r="AG875" s="88" t="n"/>
    </row>
    <row r="876" ht="15.75" customHeight="1" s="552">
      <c r="AG876" s="88" t="n"/>
    </row>
    <row r="877" ht="15.75" customHeight="1" s="552">
      <c r="AG877" s="88" t="n"/>
    </row>
    <row r="878" ht="15.75" customHeight="1" s="552">
      <c r="AG878" s="88" t="n"/>
    </row>
    <row r="879" ht="15.75" customHeight="1" s="552">
      <c r="AG879" s="88" t="n"/>
    </row>
    <row r="880" ht="15.75" customHeight="1" s="552">
      <c r="AG880" s="88" t="n"/>
    </row>
    <row r="881" ht="15.75" customHeight="1" s="552">
      <c r="AG881" s="88" t="n"/>
    </row>
    <row r="882" ht="15.75" customHeight="1" s="552">
      <c r="AG882" s="88" t="n"/>
    </row>
    <row r="883" ht="15.75" customHeight="1" s="552">
      <c r="AG883" s="88" t="n"/>
    </row>
    <row r="884" ht="15.75" customHeight="1" s="552">
      <c r="AG884" s="88" t="n"/>
    </row>
    <row r="885" ht="15.75" customHeight="1" s="552">
      <c r="AG885" s="88" t="n"/>
    </row>
    <row r="886" ht="15.75" customHeight="1" s="552">
      <c r="AG886" s="88" t="n"/>
    </row>
    <row r="887" ht="15.75" customHeight="1" s="552">
      <c r="AG887" s="88" t="n"/>
    </row>
    <row r="888" ht="15.75" customHeight="1" s="552">
      <c r="AG888" s="88" t="n"/>
    </row>
    <row r="889" ht="15.75" customHeight="1" s="552">
      <c r="AG889" s="88" t="n"/>
    </row>
    <row r="890" ht="15.75" customHeight="1" s="552">
      <c r="AG890" s="88" t="n"/>
    </row>
    <row r="891" ht="15.75" customHeight="1" s="552">
      <c r="AG891" s="88" t="n"/>
    </row>
    <row r="892" ht="15.75" customHeight="1" s="552">
      <c r="AG892" s="88" t="n"/>
    </row>
    <row r="893" ht="15.75" customHeight="1" s="552">
      <c r="AG893" s="88" t="n"/>
    </row>
    <row r="894" ht="15.75" customHeight="1" s="552">
      <c r="AG894" s="88" t="n"/>
    </row>
    <row r="895" ht="15.75" customHeight="1" s="552">
      <c r="AG895" s="88" t="n"/>
    </row>
    <row r="896" ht="15.75" customHeight="1" s="552">
      <c r="AG896" s="88" t="n"/>
    </row>
    <row r="897" ht="15.75" customHeight="1" s="552">
      <c r="AG897" s="88" t="n"/>
    </row>
    <row r="898" ht="15.75" customHeight="1" s="552">
      <c r="AG898" s="88" t="n"/>
    </row>
    <row r="899" ht="15.75" customHeight="1" s="552">
      <c r="AG899" s="88" t="n"/>
    </row>
    <row r="900" ht="15.75" customHeight="1" s="552">
      <c r="AG900" s="88" t="n"/>
    </row>
    <row r="901" ht="15.75" customHeight="1" s="552">
      <c r="AG901" s="88" t="n"/>
    </row>
    <row r="902" ht="15.75" customHeight="1" s="552">
      <c r="AG902" s="88" t="n"/>
    </row>
    <row r="903" ht="15.75" customHeight="1" s="552">
      <c r="AG903" s="88" t="n"/>
    </row>
    <row r="904" ht="15.75" customHeight="1" s="552">
      <c r="AG904" s="88" t="n"/>
    </row>
    <row r="905" ht="15.75" customHeight="1" s="552">
      <c r="AG905" s="88" t="n"/>
    </row>
    <row r="906" ht="15.75" customHeight="1" s="552">
      <c r="AG906" s="88" t="n"/>
    </row>
    <row r="907" ht="15.75" customHeight="1" s="552">
      <c r="AG907" s="88" t="n"/>
    </row>
    <row r="908" ht="15.75" customHeight="1" s="552">
      <c r="AG908" s="88" t="n"/>
    </row>
    <row r="909" ht="15.75" customHeight="1" s="552">
      <c r="AG909" s="88" t="n"/>
    </row>
    <row r="910" ht="15.75" customHeight="1" s="552">
      <c r="AG910" s="88" t="n"/>
    </row>
    <row r="911" ht="15.75" customHeight="1" s="552">
      <c r="AG911" s="88" t="n"/>
    </row>
    <row r="912" ht="15.75" customHeight="1" s="552">
      <c r="AG912" s="88" t="n"/>
    </row>
    <row r="913" ht="15.75" customHeight="1" s="552">
      <c r="AG913" s="88" t="n"/>
    </row>
    <row r="914" ht="15.75" customHeight="1" s="552">
      <c r="AG914" s="88" t="n"/>
    </row>
    <row r="915" ht="15.75" customHeight="1" s="552">
      <c r="AG915" s="88" t="n"/>
    </row>
    <row r="916" ht="15.75" customHeight="1" s="552">
      <c r="AG916" s="88" t="n"/>
    </row>
    <row r="917" ht="15.75" customHeight="1" s="552">
      <c r="AG917" s="88" t="n"/>
    </row>
    <row r="918" ht="15.75" customHeight="1" s="552">
      <c r="AG918" s="88" t="n"/>
    </row>
    <row r="919" ht="15.75" customHeight="1" s="552">
      <c r="AG919" s="88" t="n"/>
    </row>
    <row r="920" ht="15.75" customHeight="1" s="552">
      <c r="AG920" s="88" t="n"/>
    </row>
    <row r="921" ht="15.75" customHeight="1" s="552">
      <c r="AG921" s="88" t="n"/>
    </row>
    <row r="922" ht="15.75" customHeight="1" s="552">
      <c r="AG922" s="88" t="n"/>
    </row>
    <row r="923" ht="15.75" customHeight="1" s="552">
      <c r="AG923" s="88" t="n"/>
    </row>
    <row r="924" ht="15.75" customHeight="1" s="552">
      <c r="AG924" s="88" t="n"/>
    </row>
    <row r="925" ht="15.75" customHeight="1" s="552">
      <c r="AG925" s="88" t="n"/>
    </row>
    <row r="926" ht="15.75" customHeight="1" s="552">
      <c r="AG926" s="88" t="n"/>
    </row>
    <row r="927" ht="15.75" customHeight="1" s="552">
      <c r="AG927" s="88" t="n"/>
    </row>
    <row r="928" ht="15.75" customHeight="1" s="552">
      <c r="AG928" s="88" t="n"/>
    </row>
    <row r="929" ht="15.75" customHeight="1" s="552">
      <c r="AG929" s="88" t="n"/>
    </row>
    <row r="930" ht="15.75" customHeight="1" s="552">
      <c r="AG930" s="88" t="n"/>
    </row>
    <row r="931" ht="15.75" customHeight="1" s="552">
      <c r="AG931" s="88" t="n"/>
    </row>
    <row r="932" ht="15.75" customHeight="1" s="552">
      <c r="AG932" s="88" t="n"/>
    </row>
    <row r="933" ht="15.75" customHeight="1" s="552">
      <c r="AG933" s="88" t="n"/>
    </row>
    <row r="934" ht="15.75" customHeight="1" s="552">
      <c r="AG934" s="88" t="n"/>
    </row>
    <row r="935" ht="15.75" customHeight="1" s="552">
      <c r="AG935" s="88" t="n"/>
    </row>
    <row r="936" ht="15.75" customHeight="1" s="552">
      <c r="AG936" s="88" t="n"/>
    </row>
    <row r="937" ht="15.75" customHeight="1" s="552">
      <c r="AG937" s="88" t="n"/>
    </row>
    <row r="938" ht="15.75" customHeight="1" s="552">
      <c r="AG938" s="88" t="n"/>
    </row>
    <row r="939" ht="15.75" customHeight="1" s="552">
      <c r="AG939" s="88" t="n"/>
    </row>
    <row r="940" ht="15.75" customHeight="1" s="552">
      <c r="AG940" s="88" t="n"/>
    </row>
    <row r="941" ht="15.75" customHeight="1" s="552">
      <c r="AG941" s="88" t="n"/>
    </row>
    <row r="942" ht="15.75" customHeight="1" s="552">
      <c r="AG942" s="88" t="n"/>
    </row>
    <row r="943" ht="15.75" customHeight="1" s="552">
      <c r="AG943" s="88" t="n"/>
    </row>
    <row r="944" ht="15.75" customHeight="1" s="552">
      <c r="AG944" s="88" t="n"/>
    </row>
    <row r="945" ht="15.75" customHeight="1" s="552">
      <c r="AG945" s="88" t="n"/>
    </row>
    <row r="946" ht="15.75" customHeight="1" s="552">
      <c r="AG946" s="88" t="n"/>
    </row>
    <row r="947" ht="15.75" customHeight="1" s="552">
      <c r="AG947" s="88" t="n"/>
    </row>
    <row r="948" ht="15.75" customHeight="1" s="552">
      <c r="AG948" s="88" t="n"/>
    </row>
    <row r="949" ht="15.75" customHeight="1" s="552">
      <c r="AG949" s="88" t="n"/>
    </row>
    <row r="950" ht="15.75" customHeight="1" s="552">
      <c r="AG950" s="88" t="n"/>
    </row>
    <row r="951" ht="15.75" customHeight="1" s="552">
      <c r="AG951" s="88" t="n"/>
    </row>
    <row r="952" ht="15.75" customHeight="1" s="552">
      <c r="AG952" s="88" t="n"/>
    </row>
    <row r="953" ht="15.75" customHeight="1" s="552">
      <c r="AG953" s="88" t="n"/>
    </row>
    <row r="954" ht="15.75" customHeight="1" s="552">
      <c r="AG954" s="88" t="n"/>
    </row>
    <row r="955" ht="15.75" customHeight="1" s="552">
      <c r="AG955" s="88" t="n"/>
    </row>
    <row r="956" ht="15.75" customHeight="1" s="552">
      <c r="AG956" s="88" t="n"/>
    </row>
    <row r="957" ht="15.75" customHeight="1" s="552">
      <c r="AG957" s="88" t="n"/>
    </row>
    <row r="958" ht="15.75" customHeight="1" s="552">
      <c r="AG958" s="88" t="n"/>
    </row>
    <row r="959" ht="15.75" customHeight="1" s="552">
      <c r="AG959" s="88" t="n"/>
    </row>
    <row r="960" ht="15.75" customHeight="1" s="552">
      <c r="AG960" s="88" t="n"/>
    </row>
    <row r="961" ht="15.75" customHeight="1" s="552">
      <c r="AG961" s="88" t="n"/>
    </row>
    <row r="962" ht="15.75" customHeight="1" s="552">
      <c r="AG962" s="88" t="n"/>
    </row>
    <row r="963" ht="15.75" customHeight="1" s="552">
      <c r="AG963" s="88" t="n"/>
    </row>
    <row r="964" ht="15.75" customHeight="1" s="552">
      <c r="AG964" s="88" t="n"/>
    </row>
    <row r="965" ht="15.75" customHeight="1" s="552">
      <c r="AG965" s="88" t="n"/>
    </row>
    <row r="966" ht="15.75" customHeight="1" s="552">
      <c r="AG966" s="88" t="n"/>
    </row>
    <row r="967" ht="15.75" customHeight="1" s="552">
      <c r="AG967" s="88" t="n"/>
    </row>
    <row r="968" ht="15.75" customHeight="1" s="552">
      <c r="AG968" s="88" t="n"/>
    </row>
    <row r="969" ht="15.75" customHeight="1" s="552">
      <c r="AG969" s="88" t="n"/>
    </row>
    <row r="970" ht="15.75" customHeight="1" s="552">
      <c r="AG970" s="88" t="n"/>
    </row>
    <row r="971" ht="15.75" customHeight="1" s="552">
      <c r="AG971" s="88" t="n"/>
    </row>
    <row r="972" ht="15.75" customHeight="1" s="552">
      <c r="AG972" s="88" t="n"/>
    </row>
    <row r="973" ht="15.75" customHeight="1" s="552">
      <c r="AG973" s="88" t="n"/>
    </row>
    <row r="974" ht="15.75" customHeight="1" s="552">
      <c r="AG974" s="88" t="n"/>
    </row>
    <row r="975" ht="15.75" customHeight="1" s="552">
      <c r="AG975" s="88" t="n"/>
    </row>
    <row r="976" ht="15.75" customHeight="1" s="552">
      <c r="AG976" s="88" t="n"/>
    </row>
    <row r="977" ht="15.75" customHeight="1" s="552">
      <c r="AG977" s="88" t="n"/>
    </row>
    <row r="978" ht="15.75" customHeight="1" s="552">
      <c r="AG978" s="88" t="n"/>
    </row>
    <row r="979" ht="15.75" customHeight="1" s="552">
      <c r="AG979" s="88" t="n"/>
    </row>
    <row r="980" ht="15.75" customHeight="1" s="552">
      <c r="AG980" s="88" t="n"/>
    </row>
    <row r="981" ht="15.75" customHeight="1" s="552">
      <c r="AG981" s="88" t="n"/>
    </row>
    <row r="982" ht="15.75" customHeight="1" s="552">
      <c r="AG982" s="88" t="n"/>
    </row>
    <row r="983" ht="15.75" customHeight="1" s="552">
      <c r="AG983" s="88" t="n"/>
    </row>
    <row r="984" ht="15.75" customHeight="1" s="552">
      <c r="AG984" s="88" t="n"/>
    </row>
    <row r="985" ht="15.75" customHeight="1" s="552">
      <c r="AG985" s="88" t="n"/>
    </row>
    <row r="986" ht="15.75" customHeight="1" s="552">
      <c r="AG986" s="88" t="n"/>
    </row>
    <row r="987" ht="15.75" customHeight="1" s="552">
      <c r="AG987" s="88" t="n"/>
    </row>
    <row r="988" ht="15.75" customHeight="1" s="552">
      <c r="AG988" s="88" t="n"/>
    </row>
    <row r="989" ht="15.75" customHeight="1" s="552">
      <c r="AG989" s="88" t="n"/>
    </row>
    <row r="990" ht="15.75" customHeight="1" s="552">
      <c r="AG990" s="88" t="n"/>
    </row>
  </sheetData>
  <mergeCells count="6">
    <mergeCell ref="E12:N12"/>
    <mergeCell ref="AJ3:AJ4"/>
    <mergeCell ref="AI3:AI4"/>
    <mergeCell ref="AK3:AK4"/>
    <mergeCell ref="AL3:AL4"/>
    <mergeCell ref="A1:AH1"/>
  </mergeCells>
  <pageMargins left="0.25" right="0.25" top="0.75" bottom="0.75" header="0" footer="0"/>
  <pageSetup orientation="landscape" paperSize="9" scale="8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247"/>
  <sheetViews>
    <sheetView workbookViewId="0">
      <selection activeCell="A1" sqref="A1"/>
    </sheetView>
  </sheetViews>
  <sheetFormatPr baseColWidth="8" defaultColWidth="14.43" defaultRowHeight="15" customHeight="1"/>
  <cols>
    <col width="39.86" customWidth="1" style="552" min="1" max="1"/>
    <col width="32.86" customWidth="1" style="552" min="2" max="2"/>
    <col width="18.43" customWidth="1" style="552" min="3" max="3"/>
    <col width="73.70999999999999" customWidth="1" style="552" min="4" max="4"/>
    <col width="11.71" customWidth="1" style="552" min="5" max="5"/>
  </cols>
  <sheetData>
    <row r="1">
      <c r="A1" s="126" t="inlineStr">
        <is>
          <t>Название</t>
        </is>
      </c>
      <c r="B1" s="127" t="inlineStr">
        <is>
          <t>Ингридиенты</t>
        </is>
      </c>
      <c r="C1" s="127" t="inlineStr">
        <is>
          <t>Кол-во</t>
        </is>
      </c>
      <c r="D1" s="127" t="inlineStr">
        <is>
          <t>Способ</t>
        </is>
      </c>
      <c r="E1" s="128" t="inlineStr">
        <is>
          <t>Выход</t>
        </is>
      </c>
    </row>
    <row r="2">
      <c r="A2" s="129" t="inlineStr">
        <is>
          <t>SYRUPS</t>
        </is>
      </c>
      <c r="B2" s="132" t="n"/>
      <c r="C2" s="129" t="n"/>
      <c r="D2" s="132" t="n"/>
      <c r="E2" s="129" t="n"/>
    </row>
    <row r="3">
      <c r="A3" s="133" t="inlineStr">
        <is>
          <t>Сахарный сироп</t>
        </is>
      </c>
      <c r="B3" s="144" t="inlineStr">
        <is>
          <t>Сахар ( песок )</t>
        </is>
      </c>
      <c r="C3" s="144" t="inlineStr">
        <is>
          <t>1 кг</t>
        </is>
      </c>
      <c r="D3" s="145" t="inlineStr">
        <is>
          <t>Добавляем все ингридиенты в сотейник, довести до кипения</t>
        </is>
      </c>
      <c r="E3" s="144" t="inlineStr">
        <is>
          <t>1,5 л</t>
        </is>
      </c>
    </row>
    <row r="4">
      <c r="A4" s="136" t="n"/>
      <c r="B4" s="176" t="inlineStr">
        <is>
          <t>Вода</t>
        </is>
      </c>
      <c r="C4" s="176" t="inlineStr">
        <is>
          <t>700 мл</t>
        </is>
      </c>
      <c r="D4" s="151" t="inlineStr">
        <is>
          <t>постоянно мешая ложкой.</t>
        </is>
      </c>
      <c r="E4" s="155" t="n"/>
    </row>
    <row r="5">
      <c r="A5" s="140" t="n"/>
      <c r="B5" s="208" t="n"/>
      <c r="C5" s="208" t="n"/>
      <c r="D5" s="142" t="n"/>
      <c r="E5" s="208" t="n"/>
    </row>
    <row r="6">
      <c r="A6" s="187" t="inlineStr">
        <is>
          <t>Сироп куркма</t>
        </is>
      </c>
      <c r="B6" s="144" t="inlineStr">
        <is>
          <t>Сироп лемонграсс</t>
        </is>
      </c>
      <c r="C6" s="144" t="inlineStr">
        <is>
          <t>300 мл</t>
        </is>
      </c>
      <c r="D6" s="145" t="inlineStr">
        <is>
          <t>Сироп лемонграс, соль и куркуму добавить в блендер. Взбить до однородной</t>
        </is>
      </c>
      <c r="E6" s="144" t="inlineStr">
        <is>
          <t>300 мл</t>
        </is>
      </c>
    </row>
    <row r="7">
      <c r="A7" s="524" t="n"/>
      <c r="B7" s="144" t="inlineStr">
        <is>
          <t>куркума</t>
        </is>
      </c>
      <c r="C7" s="144" t="inlineStr">
        <is>
          <t>4 грм</t>
        </is>
      </c>
      <c r="D7" s="145" t="inlineStr">
        <is>
          <t>массы.</t>
        </is>
      </c>
      <c r="E7" s="144" t="n"/>
    </row>
    <row r="8">
      <c r="A8" s="524" t="n"/>
      <c r="B8" s="144" t="inlineStr">
        <is>
          <t>соль</t>
        </is>
      </c>
      <c r="C8" s="144" t="inlineStr">
        <is>
          <t>1,5 грм</t>
        </is>
      </c>
      <c r="D8" s="145" t="n"/>
      <c r="E8" s="144" t="n"/>
    </row>
    <row r="9">
      <c r="A9" s="140" t="n"/>
      <c r="B9" s="208" t="n"/>
      <c r="C9" s="208" t="n"/>
      <c r="D9" s="142" t="n"/>
      <c r="E9" s="208" t="n"/>
    </row>
    <row r="10">
      <c r="A10" s="172" t="inlineStr">
        <is>
          <t>Сироп мёд</t>
        </is>
      </c>
      <c r="B10" s="176" t="inlineStr">
        <is>
          <t>Мёд</t>
        </is>
      </c>
      <c r="C10" s="176" t="inlineStr">
        <is>
          <t>700 мл</t>
        </is>
      </c>
      <c r="D10" s="151" t="inlineStr">
        <is>
          <t xml:space="preserve">Мёд добавить в кипяток, тщателоьно перемешать </t>
        </is>
      </c>
      <c r="E10" s="176" t="inlineStr">
        <is>
          <t>1 л</t>
        </is>
      </c>
    </row>
    <row r="11">
      <c r="A11" s="136" t="n"/>
      <c r="B11" s="176" t="inlineStr">
        <is>
          <t>Вода ( кипяток )</t>
        </is>
      </c>
      <c r="C11" s="176" t="inlineStr">
        <is>
          <t>300 мл</t>
        </is>
      </c>
      <c r="D11" s="151" t="inlineStr">
        <is>
          <t>до однородного состояния ( дать остыть ).</t>
        </is>
      </c>
      <c r="E11" s="155" t="n"/>
    </row>
    <row r="12">
      <c r="A12" s="140" t="n"/>
      <c r="B12" s="208" t="n"/>
      <c r="C12" s="208" t="n"/>
      <c r="D12" s="142" t="n"/>
      <c r="E12" s="208" t="n"/>
    </row>
    <row r="13">
      <c r="A13" s="172" t="inlineStr">
        <is>
          <t>Сироп клубника</t>
        </is>
      </c>
      <c r="B13" s="176" t="inlineStr">
        <is>
          <t>Клубника с/м</t>
        </is>
      </c>
      <c r="C13" s="176" t="inlineStr">
        <is>
          <t>400 грм</t>
        </is>
      </c>
      <c r="D13" s="151" t="inlineStr">
        <is>
          <t>Добавляем все ингридиенты в сотейник, перемешивать</t>
        </is>
      </c>
      <c r="E13" s="155" t="inlineStr">
        <is>
          <t>1 л</t>
        </is>
      </c>
    </row>
    <row r="14">
      <c r="A14" s="136" t="n"/>
      <c r="B14" s="176" t="inlineStr">
        <is>
          <t>Вода</t>
        </is>
      </c>
      <c r="C14" s="176" t="inlineStr">
        <is>
          <t>300 мл</t>
        </is>
      </c>
      <c r="D14" s="151" t="inlineStr">
        <is>
          <t>доводим до кипения, потомить ( сбросить температуру на</t>
        </is>
      </c>
      <c r="E14" s="155" t="n"/>
    </row>
    <row r="15">
      <c r="A15" s="136" t="n"/>
      <c r="B15" s="176" t="inlineStr">
        <is>
          <t>Сахар ( песок )</t>
        </is>
      </c>
      <c r="C15" s="176" t="inlineStr">
        <is>
          <t>500 мл</t>
        </is>
      </c>
      <c r="D15" s="151" t="inlineStr">
        <is>
          <t>плите до минимума ) 5 минут, дать остыть, процедить.</t>
        </is>
      </c>
      <c r="E15" s="155" t="n"/>
    </row>
    <row r="16">
      <c r="A16" s="140" t="n"/>
      <c r="B16" s="208" t="n"/>
      <c r="C16" s="208" t="n"/>
      <c r="D16" s="142" t="n"/>
      <c r="E16" s="208" t="n"/>
    </row>
    <row r="17">
      <c r="A17" s="172" t="inlineStr">
        <is>
          <t>Сироп шалфей - жасмин</t>
        </is>
      </c>
      <c r="B17" s="176" t="inlineStr">
        <is>
          <t>Шалфей</t>
        </is>
      </c>
      <c r="C17" s="176" t="inlineStr">
        <is>
          <t>25 грм</t>
        </is>
      </c>
      <c r="D17" s="151" t="inlineStr">
        <is>
          <t>Добавит свежий шалфей и жасмин ( чай ) в сахарный сироп,</t>
        </is>
      </c>
      <c r="E17" s="176" t="inlineStr">
        <is>
          <t>1 л</t>
        </is>
      </c>
    </row>
    <row r="18">
      <c r="A18" s="136" t="n"/>
      <c r="B18" s="176" t="inlineStr">
        <is>
          <t>Жасмин ( чай )</t>
        </is>
      </c>
      <c r="C18" s="176" t="inlineStr">
        <is>
          <t>25 грм</t>
        </is>
      </c>
      <c r="D18" s="151" t="inlineStr">
        <is>
          <t xml:space="preserve">все это влить в вакуумный пакет, после завакуумировать и </t>
        </is>
      </c>
      <c r="E18" s="155" t="n"/>
    </row>
    <row r="19">
      <c r="A19" s="136" t="n"/>
      <c r="B19" s="176" t="inlineStr">
        <is>
          <t>Сироп сахар</t>
        </is>
      </c>
      <c r="C19" s="176" t="inlineStr">
        <is>
          <t>1л</t>
        </is>
      </c>
      <c r="D19" s="151" t="inlineStr">
        <is>
          <t>положить в сувид на 1 час ( сувид 57 градусов ).</t>
        </is>
      </c>
      <c r="E19" s="155" t="n"/>
    </row>
    <row r="20">
      <c r="A20" s="140" t="n"/>
      <c r="B20" s="208" t="n"/>
      <c r="C20" s="208" t="n"/>
      <c r="D20" s="142" t="n"/>
      <c r="E20" s="208" t="n"/>
    </row>
    <row r="21">
      <c r="A21" s="172" t="inlineStr">
        <is>
          <t>Сироп клюква-лаванда</t>
        </is>
      </c>
      <c r="B21" s="176" t="inlineStr">
        <is>
          <t>Гидролат Лаванда</t>
        </is>
      </c>
      <c r="C21" s="176" t="inlineStr">
        <is>
          <t>100 мл</t>
        </is>
      </c>
      <c r="D21" s="151" t="inlineStr">
        <is>
          <t xml:space="preserve">Добавляем все ингридиенты в сотейник, перемешиваем с </t>
        </is>
      </c>
      <c r="E21" s="176" t="inlineStr">
        <is>
          <t>1,8 л</t>
        </is>
      </c>
    </row>
    <row r="22">
      <c r="A22" s="136" t="n"/>
      <c r="B22" s="176" t="inlineStr">
        <is>
          <t>Сок в ассортименте ( вишня )</t>
        </is>
      </c>
      <c r="C22" s="176" t="inlineStr">
        <is>
          <t>700 мл</t>
        </is>
      </c>
      <c r="D22" s="151" t="inlineStr">
        <is>
          <t xml:space="preserve">сахаром до однородного состояния. Варим при максимальной температуре, </t>
        </is>
      </c>
      <c r="E22" s="155" t="n"/>
    </row>
    <row r="23">
      <c r="A23" s="136" t="n"/>
      <c r="B23" s="176" t="inlineStr">
        <is>
          <t>Вода</t>
        </is>
      </c>
      <c r="C23" s="176" t="inlineStr">
        <is>
          <t>250 мл</t>
        </is>
      </c>
      <c r="D23" s="151" t="inlineStr">
        <is>
          <t xml:space="preserve">как только начинает кипеть, снижаем </t>
        </is>
      </c>
      <c r="E23" s="155" t="n"/>
    </row>
    <row r="24">
      <c r="A24" s="136" t="n"/>
      <c r="B24" s="176" t="inlineStr">
        <is>
          <t>Сахар ( песок )</t>
        </is>
      </c>
      <c r="C24" s="176" t="inlineStr">
        <is>
          <t>1,2 кг</t>
        </is>
      </c>
      <c r="D24" s="151" t="inlineStr">
        <is>
          <t>температуру до минимума и томим 5 мин.</t>
        </is>
      </c>
      <c r="E24" s="155" t="n"/>
    </row>
    <row r="25">
      <c r="A25" s="140" t="n"/>
      <c r="B25" s="208" t="n"/>
      <c r="C25" s="208" t="n"/>
      <c r="D25" s="142" t="n"/>
      <c r="E25" s="208" t="n"/>
    </row>
    <row r="26">
      <c r="A26" s="172" t="inlineStr">
        <is>
          <t>Сироп огурец</t>
        </is>
      </c>
      <c r="B26" s="176" t="inlineStr">
        <is>
          <t>Огурец ( свежий )</t>
        </is>
      </c>
      <c r="C26" s="176" t="inlineStr">
        <is>
          <t>1 кг</t>
        </is>
      </c>
      <c r="D26" s="151" t="inlineStr">
        <is>
          <t>Огурец 1 кг очищаем от кожуры, мелко нарезаем  ( кубики не</t>
        </is>
      </c>
      <c r="E26" s="176" t="inlineStr">
        <is>
          <t>1 л</t>
        </is>
      </c>
    </row>
    <row r="27">
      <c r="A27" s="136" t="n"/>
      <c r="B27" s="176" t="inlineStr">
        <is>
          <t>Сироп сахар</t>
        </is>
      </c>
      <c r="C27" s="176" t="inlineStr">
        <is>
          <t>1 кг</t>
        </is>
      </c>
      <c r="D27" s="151" t="inlineStr">
        <is>
          <t>больше 1-2 см. если кубики будут больш они не отдадут сок ),</t>
        </is>
      </c>
      <c r="E27" s="155" t="n"/>
    </row>
    <row r="28">
      <c r="A28" s="136" t="n"/>
      <c r="B28" s="155" t="n"/>
      <c r="C28" s="155" t="n"/>
      <c r="D28" s="151" t="inlineStr">
        <is>
          <t>смешиваем с 1 кг сахарного сиропа в вакуумном пакете, затем</t>
        </is>
      </c>
      <c r="E28" s="155" t="n"/>
    </row>
    <row r="29">
      <c r="A29" s="136" t="n"/>
      <c r="B29" s="155" t="n"/>
      <c r="C29" s="155" t="n"/>
      <c r="D29" s="151" t="inlineStr">
        <is>
          <t>вакуумируем и держим в холодильнике 12 часов.</t>
        </is>
      </c>
      <c r="E29" s="155" t="n"/>
    </row>
    <row r="30">
      <c r="A30" s="140" t="n"/>
      <c r="B30" s="208" t="n"/>
      <c r="C30" s="208" t="n"/>
      <c r="D30" s="142" t="n"/>
      <c r="E30" s="208" t="n"/>
    </row>
    <row r="31">
      <c r="A31" s="172" t="inlineStr">
        <is>
          <t>Сироп молочный улун</t>
        </is>
      </c>
      <c r="B31" s="176" t="inlineStr">
        <is>
          <t>Молочный улун ( чай )</t>
        </is>
      </c>
      <c r="C31" s="176" t="inlineStr">
        <is>
          <t>35 грм</t>
        </is>
      </c>
      <c r="D31" s="151" t="inlineStr">
        <is>
          <t xml:space="preserve">Смешиваем в вакуумном пакете молочный улун ( чай ) и </t>
        </is>
      </c>
      <c r="E31" s="176" t="inlineStr">
        <is>
          <t>1 л</t>
        </is>
      </c>
    </row>
    <row r="32">
      <c r="A32" s="136" t="n"/>
      <c r="B32" s="176" t="inlineStr">
        <is>
          <t>Сахарный сироп</t>
        </is>
      </c>
      <c r="C32" s="176" t="inlineStr">
        <is>
          <t>1 л</t>
        </is>
      </c>
      <c r="D32" s="151" t="inlineStr">
        <is>
          <t>сахарный сироп, после вакуумируем. Сувид 2 часа ( 57 градусов ).</t>
        </is>
      </c>
      <c r="E32" s="155" t="n"/>
    </row>
    <row r="33">
      <c r="A33" s="140" t="n"/>
      <c r="B33" s="208" t="n"/>
      <c r="C33" s="208" t="n"/>
      <c r="D33" s="142" t="n"/>
      <c r="E33" s="208" t="n"/>
    </row>
    <row r="34">
      <c r="A34" s="172" t="inlineStr">
        <is>
          <t>Сироп лемонграсс</t>
        </is>
      </c>
      <c r="B34" s="176" t="inlineStr">
        <is>
          <t>Сахарный сироп</t>
        </is>
      </c>
      <c r="C34" s="176" t="inlineStr">
        <is>
          <t>1 л</t>
        </is>
      </c>
      <c r="D34" s="151" t="inlineStr">
        <is>
          <t>Добавить все ингридиенты в блендер, взбить до однородной массы,</t>
        </is>
      </c>
      <c r="E34" s="176" t="inlineStr">
        <is>
          <t>1 л</t>
        </is>
      </c>
    </row>
    <row r="35">
      <c r="A35" s="136" t="n"/>
      <c r="B35" s="176" t="inlineStr">
        <is>
          <t>Лемонграсс ( свежий )</t>
        </is>
      </c>
      <c r="C35" s="176" t="inlineStr">
        <is>
          <t>80 грм</t>
        </is>
      </c>
      <c r="D35" s="151" t="inlineStr">
        <is>
          <t>профайнить.</t>
        </is>
      </c>
      <c r="E35" s="155" t="n"/>
    </row>
    <row r="36">
      <c r="A36" s="140" t="n"/>
      <c r="B36" s="208" t="n"/>
      <c r="C36" s="208" t="n"/>
      <c r="D36" s="142" t="n"/>
      <c r="E36" s="208" t="n"/>
    </row>
    <row r="37">
      <c r="A37" s="172" t="inlineStr">
        <is>
          <t>Сироп гренадин</t>
        </is>
      </c>
      <c r="B37" s="176" t="inlineStr">
        <is>
          <t>Сок в ассортименте ( гранат )</t>
        </is>
      </c>
      <c r="C37" s="176" t="inlineStr">
        <is>
          <t>1 л</t>
        </is>
      </c>
      <c r="D37" s="151" t="inlineStr">
        <is>
          <t>В сотейник добавить сахар, залить: гранатовый сок, сиропы и варить на плите</t>
        </is>
      </c>
      <c r="E37" s="176" t="inlineStr">
        <is>
          <t>2 л</t>
        </is>
      </c>
    </row>
    <row r="38">
      <c r="A38" s="136" t="n"/>
      <c r="B38" s="176" t="inlineStr">
        <is>
          <t>Сироп в ассортименте ( малина )</t>
        </is>
      </c>
      <c r="C38" s="176" t="inlineStr">
        <is>
          <t>200 мл</t>
        </is>
      </c>
      <c r="D38" s="151" t="inlineStr">
        <is>
          <t>постоянно перемешивая до полного растворения ( кипения ) при</t>
        </is>
      </c>
      <c r="E38" s="155" t="n"/>
    </row>
    <row r="39">
      <c r="A39" s="136" t="n"/>
      <c r="B39" s="176" t="inlineStr">
        <is>
          <t>Сироп в ассортименте ( гренадин )</t>
        </is>
      </c>
      <c r="C39" s="176" t="inlineStr">
        <is>
          <t>200 мл</t>
        </is>
      </c>
      <c r="D39" s="151" t="inlineStr">
        <is>
          <t>максимальной температуре. Дать остыть.</t>
        </is>
      </c>
      <c r="E39" s="155" t="n"/>
    </row>
    <row r="40">
      <c r="A40" s="136" t="n"/>
      <c r="B40" s="176" t="inlineStr">
        <is>
          <t>Сахар</t>
        </is>
      </c>
      <c r="C40" s="176" t="inlineStr">
        <is>
          <t>1 кг</t>
        </is>
      </c>
      <c r="D40" s="207" t="n"/>
      <c r="E40" s="155" t="n"/>
    </row>
    <row r="41">
      <c r="A41" s="140" t="n"/>
      <c r="B41" s="208" t="n"/>
      <c r="C41" s="208" t="n"/>
      <c r="D41" s="142" t="n"/>
      <c r="E41" s="208" t="n"/>
    </row>
    <row r="42">
      <c r="A42" s="172" t="inlineStr">
        <is>
          <t>Содовая Sprunk</t>
        </is>
      </c>
      <c r="B42" s="176" t="inlineStr">
        <is>
          <t>Вода</t>
        </is>
      </c>
      <c r="C42" s="176" t="inlineStr">
        <is>
          <t>400 мл</t>
        </is>
      </c>
      <c r="D42" s="151" t="inlineStr">
        <is>
          <t>Добавить все ингридиенты в сифон, загазировать его 2мя баллонами СО2.</t>
        </is>
      </c>
      <c r="E42" s="176" t="inlineStr">
        <is>
          <t>0,8 л</t>
        </is>
      </c>
    </row>
    <row r="43">
      <c r="A43" s="136" t="n"/>
      <c r="B43" s="176" t="inlineStr">
        <is>
          <t>Цитрус/огурец кордиал</t>
        </is>
      </c>
      <c r="C43" s="176" t="inlineStr">
        <is>
          <t>600 мл</t>
        </is>
      </c>
      <c r="D43" s="207" t="n"/>
      <c r="E43" s="155" t="n"/>
    </row>
    <row r="44">
      <c r="A44" s="136" t="n"/>
      <c r="B44" s="176" t="inlineStr">
        <is>
          <t>Сифон ( 2 баллона )</t>
        </is>
      </c>
      <c r="C44" s="176" t="inlineStr">
        <is>
          <t>1 баллон</t>
        </is>
      </c>
      <c r="D44" s="207" t="n"/>
      <c r="E44" s="155" t="n"/>
    </row>
    <row r="45">
      <c r="A45" s="140" t="n"/>
      <c r="B45" s="208" t="n"/>
      <c r="C45" s="208" t="n"/>
      <c r="D45" s="142" t="n"/>
      <c r="E45" s="208" t="n"/>
    </row>
    <row r="46">
      <c r="A46" s="172" t="inlineStr">
        <is>
          <t>NUKA Cola ПФ</t>
        </is>
      </c>
      <c r="B46" s="176" t="inlineStr">
        <is>
          <t>Сироп сахар</t>
        </is>
      </c>
      <c r="C46" s="176" t="inlineStr">
        <is>
          <t>250 мл</t>
        </is>
      </c>
      <c r="D46" s="151" t="inlineStr">
        <is>
          <t>Смешать все ингридиенты и размешать до полного смешивания</t>
        </is>
      </c>
      <c r="E46" s="178" t="n">
        <v>45383</v>
      </c>
    </row>
    <row r="47">
      <c r="A47" s="136" t="n"/>
      <c r="B47" s="176" t="inlineStr">
        <is>
          <t>Сироп в ассортименте ( ваниль )</t>
        </is>
      </c>
      <c r="C47" s="176" t="inlineStr">
        <is>
          <t>250 мл</t>
        </is>
      </c>
      <c r="D47" s="151" t="inlineStr">
        <is>
          <t xml:space="preserve"> ( завариать чай нее менее 10 мин )</t>
        </is>
      </c>
      <c r="E47" s="155" t="n"/>
    </row>
    <row r="48">
      <c r="A48" s="136" t="n"/>
      <c r="B48" s="176" t="inlineStr">
        <is>
          <t>Сироп в ассортименте ( попкорн )</t>
        </is>
      </c>
      <c r="C48" s="176" t="inlineStr">
        <is>
          <t>200 мл</t>
        </is>
      </c>
      <c r="D48" s="207" t="n"/>
      <c r="E48" s="155" t="n"/>
    </row>
    <row r="49">
      <c r="A49" s="136" t="n"/>
      <c r="B49" s="176" t="inlineStr">
        <is>
          <t>ПФ Молочный улун ( чай заваренный)</t>
        </is>
      </c>
      <c r="C49" s="176" t="inlineStr">
        <is>
          <t>750 мл</t>
        </is>
      </c>
      <c r="D49" s="151" t="n"/>
      <c r="E49" s="155" t="n"/>
    </row>
    <row r="50">
      <c r="A50" s="136" t="n"/>
      <c r="B50" s="176" t="inlineStr">
        <is>
          <t>Молочная кислота 80%</t>
        </is>
      </c>
      <c r="C50" s="176" t="inlineStr">
        <is>
          <t>30 мл</t>
        </is>
      </c>
      <c r="D50" s="207" t="n"/>
      <c r="E50" s="155" t="n"/>
    </row>
    <row r="51">
      <c r="A51" s="179" t="inlineStr">
        <is>
          <t>FRESH</t>
        </is>
      </c>
      <c r="B51" s="180" t="inlineStr">
        <is>
          <t>Ингридиенты</t>
        </is>
      </c>
      <c r="C51" s="180" t="inlineStr">
        <is>
          <t>кол-во</t>
        </is>
      </c>
      <c r="D51" s="180" t="inlineStr">
        <is>
          <t>Способ</t>
        </is>
      </c>
      <c r="E51" s="180" t="inlineStr">
        <is>
          <t>Выход</t>
        </is>
      </c>
    </row>
    <row r="52">
      <c r="A52" s="181" t="inlineStr">
        <is>
          <t>Фреш лайм</t>
        </is>
      </c>
      <c r="B52" s="144" t="inlineStr">
        <is>
          <t>Свежий лайм</t>
        </is>
      </c>
      <c r="C52" s="144" t="inlineStr">
        <is>
          <t>1 кг</t>
        </is>
      </c>
      <c r="D52" s="145" t="inlineStr">
        <is>
          <t>С помощью соковыжималки, выдавить фреш из лайма.</t>
        </is>
      </c>
      <c r="E52" s="144" t="inlineStr">
        <is>
          <t>400 мл</t>
        </is>
      </c>
    </row>
    <row r="53">
      <c r="A53" s="181" t="inlineStr">
        <is>
          <t>Фреш лимон</t>
        </is>
      </c>
      <c r="B53" s="144" t="inlineStr">
        <is>
          <t>Свежий лимон</t>
        </is>
      </c>
      <c r="C53" s="144" t="inlineStr">
        <is>
          <t>1 кг</t>
        </is>
      </c>
      <c r="D53" s="145" t="inlineStr">
        <is>
          <t>С помощью соковыжималки, выдавить фреш из лимона.</t>
        </is>
      </c>
      <c r="E53" s="144" t="inlineStr">
        <is>
          <t>400 мл</t>
        </is>
      </c>
    </row>
    <row r="54">
      <c r="A54" s="181" t="inlineStr">
        <is>
          <t>Фреш имбиря</t>
        </is>
      </c>
      <c r="B54" s="144" t="inlineStr">
        <is>
          <t>Корень имбиря</t>
        </is>
      </c>
      <c r="C54" s="144" t="inlineStr">
        <is>
          <t>1 кг</t>
        </is>
      </c>
      <c r="D54" s="145" t="inlineStr">
        <is>
          <t>С помощью фрешницы, приготовить фреш из имбиря.</t>
        </is>
      </c>
      <c r="E54" s="144" t="inlineStr">
        <is>
          <t>200 мл</t>
        </is>
      </c>
    </row>
    <row r="55">
      <c r="A55" s="181" t="inlineStr">
        <is>
          <t>Фреш грейпфрут</t>
        </is>
      </c>
      <c r="B55" s="144" t="inlineStr">
        <is>
          <t>Свежий грейпфрут</t>
        </is>
      </c>
      <c r="C55" s="144" t="inlineStr">
        <is>
          <t>1 кг</t>
        </is>
      </c>
      <c r="D55" s="145" t="inlineStr">
        <is>
          <t>С помощью соковыжималки, выдавить фреш из грейпфрута.</t>
        </is>
      </c>
      <c r="E55" s="144" t="inlineStr">
        <is>
          <t>400 мл</t>
        </is>
      </c>
    </row>
    <row r="56">
      <c r="A56" s="181" t="inlineStr">
        <is>
          <t>Фреш апельсина</t>
        </is>
      </c>
      <c r="B56" s="144" t="inlineStr">
        <is>
          <t>Свежий апельсин</t>
        </is>
      </c>
      <c r="C56" s="144" t="inlineStr">
        <is>
          <t>1 кг</t>
        </is>
      </c>
      <c r="D56" s="145" t="inlineStr">
        <is>
          <t>С помощью соковыжималки, выдавить фреш из апельсина.</t>
        </is>
      </c>
      <c r="E56" s="144" t="inlineStr">
        <is>
          <t>400 мл</t>
        </is>
      </c>
    </row>
    <row r="57">
      <c r="A57" s="181" t="inlineStr">
        <is>
          <t>Фреш гранат</t>
        </is>
      </c>
      <c r="B57" s="144" t="inlineStr">
        <is>
          <t>Свежий гранат</t>
        </is>
      </c>
      <c r="C57" s="144" t="inlineStr">
        <is>
          <t>1 кг</t>
        </is>
      </c>
      <c r="D57" s="145" t="inlineStr">
        <is>
          <t>С помощью соковыжималки, выдавить фреш из граната</t>
        </is>
      </c>
      <c r="E57" s="144" t="inlineStr">
        <is>
          <t>300мл</t>
        </is>
      </c>
    </row>
    <row r="58">
      <c r="A58" s="183" t="inlineStr">
        <is>
          <t>Infusions</t>
        </is>
      </c>
      <c r="B58" s="184" t="inlineStr">
        <is>
          <t>Ингридиенты</t>
        </is>
      </c>
      <c r="C58" s="184" t="inlineStr">
        <is>
          <t>кол-во</t>
        </is>
      </c>
      <c r="D58" s="184" t="inlineStr">
        <is>
          <t>Способ</t>
        </is>
      </c>
      <c r="E58" s="184" t="inlineStr">
        <is>
          <t>Выход</t>
        </is>
      </c>
    </row>
    <row r="59">
      <c r="A59" s="185" t="inlineStr">
        <is>
          <t>Vodka/mango/lime</t>
        </is>
      </c>
      <c r="B59" s="176" t="inlineStr">
        <is>
          <t>Tundra ( vodka )</t>
        </is>
      </c>
      <c r="C59" s="176" t="inlineStr">
        <is>
          <t>1 л</t>
        </is>
      </c>
      <c r="D59" s="151" t="inlineStr">
        <is>
          <t>Смешиваем водку сухой манго и листья лайма ( кафира ) в вакуумном пакете,</t>
        </is>
      </c>
      <c r="E59" s="176" t="inlineStr">
        <is>
          <t>1 л</t>
        </is>
      </c>
    </row>
    <row r="60">
      <c r="A60" s="186" t="n"/>
      <c r="B60" s="176" t="inlineStr">
        <is>
          <t>Листья лайма ( кафир )</t>
        </is>
      </c>
      <c r="C60" s="176" t="inlineStr">
        <is>
          <t>30 грм</t>
        </is>
      </c>
      <c r="D60" s="151" t="inlineStr">
        <is>
          <t>вакуумируем всё это дело и оставляем в холодильнике ( морозилке ) на сутки.</t>
        </is>
      </c>
      <c r="E60" s="155" t="n"/>
    </row>
    <row r="61">
      <c r="A61" s="186" t="n"/>
      <c r="B61" s="155" t="inlineStr">
        <is>
          <t>Манго ( сушеный )</t>
        </is>
      </c>
      <c r="C61" s="155" t="inlineStr">
        <is>
          <t>50 грм</t>
        </is>
      </c>
      <c r="D61" s="207" t="n"/>
      <c r="E61" s="155" t="n"/>
    </row>
    <row r="62">
      <c r="A62" s="140" t="n"/>
      <c r="B62" s="208" t="n"/>
      <c r="C62" s="208" t="n"/>
      <c r="D62" s="142" t="n"/>
      <c r="E62" s="208" t="n"/>
    </row>
    <row r="63">
      <c r="A63" s="187" t="inlineStr">
        <is>
          <t>Vodka/pecan</t>
        </is>
      </c>
      <c r="B63" s="176" t="inlineStr">
        <is>
          <t>Tundra ( vodka )</t>
        </is>
      </c>
      <c r="C63" s="144" t="inlineStr">
        <is>
          <t>1 л</t>
        </is>
      </c>
      <c r="D63" s="145" t="inlineStr">
        <is>
          <t>Инфьюз. Закинуть в вакуумный пакет пекан, залить водкой.</t>
        </is>
      </c>
      <c r="E63" s="144" t="inlineStr">
        <is>
          <t>1 л</t>
        </is>
      </c>
    </row>
    <row r="64">
      <c r="A64" s="524" t="n"/>
      <c r="B64" s="144" t="inlineStr">
        <is>
          <t>Пекан</t>
        </is>
      </c>
      <c r="C64" s="144" t="inlineStr">
        <is>
          <t>50 грм</t>
        </is>
      </c>
      <c r="D64" s="145" t="inlineStr">
        <is>
          <t>Завакуумить. Настаивать 3 суток.</t>
        </is>
      </c>
      <c r="E64" s="144" t="n"/>
    </row>
    <row r="65">
      <c r="A65" s="140" t="n"/>
      <c r="B65" s="208" t="n"/>
      <c r="C65" s="208" t="n"/>
      <c r="D65" s="142" t="n"/>
      <c r="E65" s="208" t="n"/>
    </row>
    <row r="66">
      <c r="A66" s="187" t="inlineStr">
        <is>
          <t>Sake/yuzu</t>
        </is>
      </c>
      <c r="B66" s="144" t="inlineStr">
        <is>
          <t>Саке</t>
        </is>
      </c>
      <c r="C66" s="144" t="inlineStr">
        <is>
          <t>450 мл</t>
        </is>
      </c>
      <c r="D66" s="145" t="inlineStr">
        <is>
          <t>Инфьюз. Закинуть в вакуумный пакет пюре каламнси, залить саке.</t>
        </is>
      </c>
      <c r="E66" s="144" t="inlineStr">
        <is>
          <t>400мл</t>
        </is>
      </c>
    </row>
    <row r="67">
      <c r="A67" s="524" t="n"/>
      <c r="B67" s="144" t="inlineStr">
        <is>
          <t>Пюре каламнси</t>
        </is>
      </c>
      <c r="C67" s="144" t="inlineStr">
        <is>
          <t>120 мл</t>
        </is>
      </c>
      <c r="D67" s="145" t="inlineStr">
        <is>
          <t>Завакуумить. Настаивать сутки.</t>
        </is>
      </c>
      <c r="E67" s="144" t="n"/>
    </row>
    <row r="68">
      <c r="A68" s="524" t="n"/>
      <c r="B68" s="144" t="inlineStr">
        <is>
          <t>Сироп сахар</t>
        </is>
      </c>
      <c r="C68" s="144" t="inlineStr">
        <is>
          <t>90 мл</t>
        </is>
      </c>
      <c r="D68" s="145" t="n"/>
      <c r="E68" s="144" t="n"/>
    </row>
    <row r="69">
      <c r="A69" s="140" t="n"/>
      <c r="B69" s="208" t="n"/>
      <c r="C69" s="208" t="n"/>
      <c r="D69" s="142" t="n"/>
      <c r="E69" s="208" t="n"/>
    </row>
    <row r="70">
      <c r="A70" s="185" t="inlineStr">
        <is>
          <t>Vodka/electric flowers</t>
        </is>
      </c>
      <c r="B70" s="176" t="inlineStr">
        <is>
          <t>Tundra ( vodka )</t>
        </is>
      </c>
      <c r="C70" s="176" t="inlineStr">
        <is>
          <t>1 л</t>
        </is>
      </c>
      <c r="D70" s="151" t="inlineStr">
        <is>
          <t>Смешиваем водку, листья лайма ( кафира ) и эл. цветы в вакуумном пакете,</t>
        </is>
      </c>
      <c r="E70" s="176" t="inlineStr">
        <is>
          <t>1 л</t>
        </is>
      </c>
    </row>
    <row r="71">
      <c r="A71" s="186" t="n"/>
      <c r="B71" s="176" t="inlineStr">
        <is>
          <t>Лист лайма ( кафир )</t>
        </is>
      </c>
      <c r="C71" s="176" t="inlineStr">
        <is>
          <t>25 грм</t>
        </is>
      </c>
      <c r="D71" s="151" t="inlineStr">
        <is>
          <t>вакуумируем всё это дело и оставляем в холодильнике на сутки.</t>
        </is>
      </c>
      <c r="E71" s="155" t="n"/>
    </row>
    <row r="72">
      <c r="A72" s="186" t="n"/>
      <c r="B72" s="176" t="inlineStr">
        <is>
          <t>Электрические цветы</t>
        </is>
      </c>
      <c r="C72" s="176" t="inlineStr">
        <is>
          <t>25 грм</t>
        </is>
      </c>
      <c r="D72" s="207" t="n"/>
      <c r="E72" s="155" t="n"/>
    </row>
    <row r="73">
      <c r="A73" s="140" t="n"/>
      <c r="B73" s="208" t="n"/>
      <c r="C73" s="208" t="n"/>
      <c r="D73" s="142" t="n"/>
      <c r="E73" s="208" t="n"/>
    </row>
    <row r="74">
      <c r="A74" s="185" t="inlineStr">
        <is>
          <t>Rum/ananas</t>
        </is>
      </c>
      <c r="B74" s="176" t="inlineStr">
        <is>
          <t>Oakheart</t>
        </is>
      </c>
      <c r="C74" s="176" t="inlineStr">
        <is>
          <t>0,7 л</t>
        </is>
      </c>
      <c r="D74" s="151" t="inlineStr">
        <is>
          <t>Очищаем свежий ананас от кожуры, нарезаем на кубики ( не особо</t>
        </is>
      </c>
      <c r="E74" s="176" t="inlineStr">
        <is>
          <t>0,7 л</t>
        </is>
      </c>
    </row>
    <row r="75">
      <c r="A75" s="186" t="n"/>
      <c r="B75" s="176" t="inlineStr">
        <is>
          <t>Ананас ( свежий )</t>
        </is>
      </c>
      <c r="C75" s="176" t="inlineStr">
        <is>
          <t>300 грм</t>
        </is>
      </c>
      <c r="D75" s="151" t="inlineStr">
        <is>
          <t>мелко ) смешиваем в вакуумном пакете с ромом, вакуумируем. Сувид</t>
        </is>
      </c>
      <c r="E75" s="155" t="n"/>
    </row>
    <row r="76">
      <c r="A76" s="186" t="n"/>
      <c r="B76" s="155" t="n"/>
      <c r="C76" s="155" t="n"/>
      <c r="D76" s="151" t="inlineStr">
        <is>
          <t>2 часа при температуре 57 градусов.</t>
        </is>
      </c>
      <c r="E76" s="155" t="n"/>
    </row>
    <row r="77">
      <c r="A77" s="140" t="n"/>
      <c r="B77" s="208" t="n"/>
      <c r="C77" s="208" t="n"/>
      <c r="D77" s="142" t="n"/>
      <c r="E77" s="208" t="n"/>
    </row>
    <row r="78">
      <c r="A78" s="185" t="inlineStr">
        <is>
          <t>Cherry/bourbon</t>
        </is>
      </c>
      <c r="B78" s="176" t="inlineStr">
        <is>
          <t>Old Virginia ( бурбон )</t>
        </is>
      </c>
      <c r="C78" s="176" t="inlineStr">
        <is>
          <t>0,7 л</t>
        </is>
      </c>
      <c r="D78" s="151" t="inlineStr">
        <is>
          <t>Смешиваем в вакуумном пакете все ингридиенты, вакуумируем.</t>
        </is>
      </c>
      <c r="E78" s="176" t="inlineStr">
        <is>
          <t>0,8 л</t>
        </is>
      </c>
    </row>
    <row r="79">
      <c r="A79" s="186" t="n"/>
      <c r="B79" s="176" t="inlineStr">
        <is>
          <t>Вишня с/м</t>
        </is>
      </c>
      <c r="C79" s="176" t="inlineStr">
        <is>
          <t>400 грм</t>
        </is>
      </c>
      <c r="D79" s="151" t="inlineStr">
        <is>
          <t>Сувид 2,5 часа при температуре 57 градусов.</t>
        </is>
      </c>
      <c r="E79" s="155" t="n"/>
    </row>
    <row r="80">
      <c r="A80" s="186" t="n"/>
      <c r="B80" s="176" t="inlineStr">
        <is>
          <t>Bols Maraschino</t>
        </is>
      </c>
      <c r="C80" s="176" t="inlineStr">
        <is>
          <t>100 грм</t>
        </is>
      </c>
      <c r="D80" s="207" t="n"/>
      <c r="E80" s="155" t="n"/>
    </row>
    <row r="81">
      <c r="A81" s="140" t="n"/>
      <c r="B81" s="208" t="n"/>
      <c r="C81" s="208" t="n"/>
      <c r="D81" s="142" t="n"/>
      <c r="E81" s="208" t="n"/>
    </row>
    <row r="82">
      <c r="A82" s="185" t="inlineStr">
        <is>
          <t>Aperol/rose pepper</t>
        </is>
      </c>
      <c r="B82" s="176" t="inlineStr">
        <is>
          <t>Martini Fiero</t>
        </is>
      </c>
      <c r="C82" s="176" t="inlineStr">
        <is>
          <t>0,5 мл</t>
        </is>
      </c>
      <c r="D82" s="151" t="inlineStr">
        <is>
          <t>Смешиваем в вакуумном пакете все ингридиенты, вакуумируем.</t>
        </is>
      </c>
      <c r="E82" s="176" t="inlineStr">
        <is>
          <t>0,5 л</t>
        </is>
      </c>
    </row>
    <row r="83">
      <c r="A83" s="186" t="n"/>
      <c r="B83" s="176" t="inlineStr">
        <is>
          <t>Розовый перец</t>
        </is>
      </c>
      <c r="C83" s="176" t="inlineStr">
        <is>
          <t>25 грм</t>
        </is>
      </c>
      <c r="D83" s="151" t="inlineStr">
        <is>
          <t>Сувид 1,5 часа при температуре 57 градусов.</t>
        </is>
      </c>
      <c r="E83" s="155" t="n"/>
    </row>
    <row r="84">
      <c r="A84" s="140" t="n"/>
      <c r="B84" s="208" t="n"/>
      <c r="C84" s="208" t="n"/>
      <c r="D84" s="142" t="n"/>
      <c r="E84" s="208" t="n"/>
    </row>
    <row r="85">
      <c r="A85" s="185" t="inlineStr">
        <is>
          <t>Aperol/strawberry</t>
        </is>
      </c>
      <c r="B85" s="176" t="inlineStr">
        <is>
          <t>Martini Fiero</t>
        </is>
      </c>
      <c r="C85" s="176" t="inlineStr">
        <is>
          <t>1 л</t>
        </is>
      </c>
      <c r="D85" s="151" t="inlineStr">
        <is>
          <t>Смешиваем в вакуумном пакете все ингридиенты, вакуумируем.</t>
        </is>
      </c>
      <c r="E85" s="176" t="inlineStr">
        <is>
          <t>1 л</t>
        </is>
      </c>
    </row>
    <row r="86">
      <c r="A86" s="186" t="n"/>
      <c r="B86" s="176" t="inlineStr">
        <is>
          <t>Клубника с/м</t>
        </is>
      </c>
      <c r="C86" s="176" t="inlineStr">
        <is>
          <t>0,5 кг</t>
        </is>
      </c>
      <c r="D86" s="151" t="inlineStr">
        <is>
          <t>Сувид 1,5 часа при температуре 57 градусов.</t>
        </is>
      </c>
      <c r="E86" s="155" t="n"/>
    </row>
    <row r="87">
      <c r="A87" s="140" t="n"/>
      <c r="B87" s="208" t="n"/>
      <c r="C87" s="208" t="n"/>
      <c r="D87" s="142" t="n"/>
      <c r="E87" s="208" t="n"/>
    </row>
    <row r="88">
      <c r="A88" s="185" t="inlineStr">
        <is>
          <t>Candy/bourbon</t>
        </is>
      </c>
      <c r="B88" s="176" t="inlineStr">
        <is>
          <t>Old Virginia</t>
        </is>
      </c>
      <c r="C88" s="176" t="inlineStr">
        <is>
          <t>0,7 л</t>
        </is>
      </c>
      <c r="D88" s="151" t="inlineStr">
        <is>
          <t>Смешиваем в вакуумном пакете все ингридиенты, вакуумируем.</t>
        </is>
      </c>
      <c r="E88" s="176" t="inlineStr">
        <is>
          <t>0,7 л</t>
        </is>
      </c>
    </row>
    <row r="89">
      <c r="A89" s="136" t="n"/>
      <c r="B89" s="176" t="inlineStr">
        <is>
          <t>конфеты ириски</t>
        </is>
      </c>
      <c r="C89" s="176" t="inlineStr">
        <is>
          <t>30 шт</t>
        </is>
      </c>
      <c r="D89" s="151" t="inlineStr">
        <is>
          <t>Сувид 1,5 часа при температуре 57 градусов.</t>
        </is>
      </c>
      <c r="E89" s="155" t="n"/>
    </row>
    <row r="90">
      <c r="A90" s="190" t="inlineStr">
        <is>
          <t>Milk Punch Technic</t>
        </is>
      </c>
      <c r="B90" s="191" t="inlineStr">
        <is>
          <t>Ингридиенты</t>
        </is>
      </c>
      <c r="C90" s="191" t="inlineStr">
        <is>
          <t>кол-во</t>
        </is>
      </c>
      <c r="D90" s="191" t="inlineStr">
        <is>
          <t>Способ</t>
        </is>
      </c>
      <c r="E90" s="191" t="inlineStr">
        <is>
          <t>Выход</t>
        </is>
      </c>
    </row>
    <row r="91">
      <c r="A91" s="185" t="inlineStr">
        <is>
          <t>Citrus/bourbon</t>
        </is>
      </c>
      <c r="B91" s="176" t="inlineStr">
        <is>
          <t>Old Virginia ( бурбон )</t>
        </is>
      </c>
      <c r="C91" s="176" t="inlineStr">
        <is>
          <t>500 мл</t>
        </is>
      </c>
      <c r="D91" s="151" t="inlineStr">
        <is>
          <t>Смешать все ингридиенты в большом мернике ( кроме молока и</t>
        </is>
      </c>
      <c r="E91" s="176" t="inlineStr">
        <is>
          <t>1 л</t>
        </is>
      </c>
    </row>
    <row r="92">
      <c r="A92" s="186" t="n"/>
      <c r="B92" s="176" t="inlineStr">
        <is>
          <t>Пюре мандарин</t>
        </is>
      </c>
      <c r="C92" s="176" t="inlineStr">
        <is>
          <t>500 грм</t>
        </is>
      </c>
      <c r="D92" s="151" t="inlineStr">
        <is>
          <t>лимонного фреша ), затем сильно нагреть молоко и вливать в мерник</t>
        </is>
      </c>
      <c r="E92" s="155" t="n"/>
    </row>
    <row r="93">
      <c r="A93" s="186" t="n"/>
      <c r="B93" s="176" t="inlineStr">
        <is>
          <t>Фреш лимона</t>
        </is>
      </c>
      <c r="C93" s="176" t="inlineStr">
        <is>
          <t>100 мл</t>
        </is>
      </c>
      <c r="D93" s="151" t="inlineStr">
        <is>
          <t>перемешивая ложкой с нашим премиксом ( виски/мандариновое пюре и</t>
        </is>
      </c>
      <c r="E93" s="155" t="n"/>
    </row>
    <row r="94">
      <c r="A94" s="186" t="n"/>
      <c r="B94" s="176" t="inlineStr">
        <is>
          <t>Молоко</t>
        </is>
      </c>
      <c r="C94" s="176" t="inlineStr">
        <is>
          <t>300 мл</t>
        </is>
      </c>
      <c r="D94" s="151" t="inlineStr">
        <is>
          <t xml:space="preserve"> ), затем медленно вливать лимонный фреш в мерник ( уже с</t>
        </is>
      </c>
      <c r="E94" s="155" t="n"/>
    </row>
    <row r="95">
      <c r="A95" s="186" t="n"/>
      <c r="B95" s="176" t="inlineStr">
        <is>
          <t>Сироп мандарин</t>
        </is>
      </c>
      <c r="C95" s="176" t="inlineStr">
        <is>
          <t>100 мл</t>
        </is>
      </c>
      <c r="D95" s="151" t="inlineStr">
        <is>
          <t xml:space="preserve">молоком и нашим примиксом ) также все это дело перемешивая лож - </t>
        </is>
      </c>
      <c r="E95" s="155" t="n"/>
    </row>
    <row r="96">
      <c r="A96" s="186" t="n"/>
      <c r="B96" s="176" t="inlineStr">
        <is>
          <t>Агар</t>
        </is>
      </c>
      <c r="C96" s="176" t="inlineStr">
        <is>
          <t>1,7 грм</t>
        </is>
      </c>
      <c r="D96" s="151" t="inlineStr">
        <is>
          <t xml:space="preserve">кой. ( Изначально можно использовать специальные бутылки для </t>
        </is>
      </c>
      <c r="E96" s="155" t="n"/>
    </row>
    <row r="97">
      <c r="A97" s="186" t="n"/>
      <c r="B97" s="155" t="n"/>
      <c r="C97" s="155" t="n"/>
      <c r="D97" s="151" t="inlineStr">
        <is>
          <t>удобства, к ним есть крышки ).</t>
        </is>
      </c>
      <c r="E97" s="155" t="n"/>
    </row>
    <row r="98">
      <c r="A98" s="140" t="n"/>
      <c r="B98" s="208" t="n"/>
      <c r="C98" s="208" t="n"/>
      <c r="D98" s="142" t="n"/>
      <c r="E98" s="208" t="n"/>
    </row>
    <row r="99">
      <c r="A99" s="185" t="inlineStr">
        <is>
          <t>MP Austin Powers</t>
        </is>
      </c>
      <c r="B99" s="176" t="inlineStr">
        <is>
          <t>Basfor ( джин )</t>
        </is>
      </c>
      <c r="C99" s="176" t="inlineStr">
        <is>
          <t>0,7 мл</t>
        </is>
      </c>
      <c r="D99" s="151" t="inlineStr">
        <is>
          <t>Смешать все алкогольные ингридиенты в мернике. Затем смешать: сок банан</t>
        </is>
      </c>
      <c r="E99" s="176" t="inlineStr">
        <is>
          <t>1,2 л</t>
        </is>
      </c>
    </row>
    <row r="100">
      <c r="A100" s="186" t="n"/>
      <c r="B100" s="176" t="inlineStr">
        <is>
          <t>Банановый сок Santal</t>
        </is>
      </c>
      <c r="C100" s="176" t="inlineStr">
        <is>
          <t>1 л</t>
        </is>
      </c>
      <c r="D100" s="151" t="inlineStr">
        <is>
          <t>и йогурт "чудо - клубничный" в мернике. 1/3 от этой массы ( где у вас йогурт</t>
        </is>
      </c>
      <c r="E100" s="155" t="n"/>
    </row>
    <row r="101">
      <c r="A101" s="136" t="n"/>
      <c r="B101" s="176" t="inlineStr">
        <is>
          <t>Йогурт "чудо" клубника</t>
        </is>
      </c>
      <c r="C101" s="176" t="inlineStr">
        <is>
          <t>0,75 л</t>
        </is>
      </c>
      <c r="D101" s="151" t="inlineStr">
        <is>
          <t xml:space="preserve"> и сок банан ) перелить в еще один отдельный мерник и добавить</t>
        </is>
      </c>
      <c r="E101" s="155" t="n"/>
    </row>
    <row r="102">
      <c r="A102" s="136" t="n"/>
      <c r="B102" s="176" t="inlineStr">
        <is>
          <t>Infuse "Aperol/strawberry"</t>
        </is>
      </c>
      <c r="C102" s="176" t="inlineStr">
        <is>
          <t>0,25 л</t>
        </is>
      </c>
      <c r="D102" s="151" t="inlineStr">
        <is>
          <t xml:space="preserve">агар-агар. Очень быстро нагерть, что бы агар-агар не собрался в комочки. </t>
        </is>
      </c>
      <c r="E102" s="155" t="n"/>
    </row>
    <row r="103">
      <c r="A103" s="136" t="n"/>
      <c r="B103" s="176" t="inlineStr">
        <is>
          <t>Фреш лимон</t>
        </is>
      </c>
      <c r="C103" s="176" t="inlineStr">
        <is>
          <t>0,4 л</t>
        </is>
      </c>
      <c r="D103" s="151" t="inlineStr">
        <is>
          <t>Оставшиеся 2/3 массы перелить в мерник с алкогольными ингридиентами.</t>
        </is>
      </c>
      <c r="E103" s="155" t="n"/>
    </row>
    <row r="104">
      <c r="A104" s="136" t="n"/>
      <c r="B104" s="176" t="inlineStr">
        <is>
          <t>Сироп ваниль</t>
        </is>
      </c>
      <c r="C104" s="176" t="inlineStr">
        <is>
          <t>0,15 л</t>
        </is>
      </c>
      <c r="D104" s="151" t="inlineStr">
        <is>
          <t>Уже в общий примикс влить нашу горячцую оставшуюся  1/3 примикса ( очень</t>
        </is>
      </c>
      <c r="E104" s="155" t="n"/>
    </row>
    <row r="105">
      <c r="A105" s="136" t="n"/>
      <c r="B105" s="176" t="inlineStr">
        <is>
          <t>Сироп банан</t>
        </is>
      </c>
      <c r="C105" s="176" t="inlineStr">
        <is>
          <t>0,1 л</t>
        </is>
      </c>
      <c r="D105" s="151" t="inlineStr">
        <is>
          <t xml:space="preserve">медленно лить тонкой струйкой и перемешивать. В конце влить уже в общий </t>
        </is>
      </c>
      <c r="E105" s="155" t="n"/>
    </row>
    <row r="106">
      <c r="A106" s="136" t="n"/>
      <c r="B106" s="176" t="n"/>
      <c r="C106" s="176" t="n"/>
      <c r="D106" s="151" t="inlineStr">
        <is>
          <t>мерник с примиксом лимонный фреш. Охладить в холодильнике, затем пробить</t>
        </is>
      </c>
      <c r="E106" s="155" t="n"/>
    </row>
    <row r="107">
      <c r="A107" s="136" t="n"/>
      <c r="B107" s="155" t="n"/>
      <c r="C107" s="155" t="n"/>
      <c r="D107" s="151" t="inlineStr">
        <is>
          <t>веньчиком желе и поставить файниться на кофе фильтры.</t>
        </is>
      </c>
      <c r="E107" s="155" t="n"/>
    </row>
    <row r="108">
      <c r="A108" s="140" t="n"/>
      <c r="B108" s="208" t="n"/>
      <c r="C108" s="208" t="n"/>
      <c r="D108" s="142" t="n"/>
      <c r="E108" s="208" t="n"/>
    </row>
    <row r="109">
      <c r="A109" s="195" t="inlineStr">
        <is>
          <t>MP Бурбон/абрикос/амаретто/орехи</t>
        </is>
      </c>
      <c r="B109" s="176" t="inlineStr">
        <is>
          <t>Old Virginia ( бурбон )</t>
        </is>
      </c>
      <c r="C109" s="155" t="inlineStr">
        <is>
          <t>0,7 л</t>
        </is>
      </c>
      <c r="D109" s="151" t="inlineStr">
        <is>
          <t>Смешать все алкогольные ингридиенты в мернике. Затем смешать:</t>
        </is>
      </c>
      <c r="E109" s="155" t="inlineStr">
        <is>
          <t>1,2 л</t>
        </is>
      </c>
    </row>
    <row r="110">
      <c r="A110" s="196" t="inlineStr">
        <is>
          <t>8 VIP</t>
        </is>
      </c>
      <c r="B110" s="176" t="inlineStr">
        <is>
          <t>Frangelico</t>
        </is>
      </c>
      <c r="C110" s="155" t="inlineStr">
        <is>
          <t>0,1 л</t>
        </is>
      </c>
      <c r="D110" s="151" t="inlineStr">
        <is>
          <t>пюре абрикос, молоко в отдельном мернике. 1/3 от этой массы ( где у вас молоко и</t>
        </is>
      </c>
      <c r="E110" s="155" t="n"/>
    </row>
    <row r="111">
      <c r="A111" s="136" t="n"/>
      <c r="B111" s="176" t="inlineStr">
        <is>
          <t xml:space="preserve">Cartron/( Bols ) Amaretto </t>
        </is>
      </c>
      <c r="C111" s="155" t="inlineStr">
        <is>
          <t>0,1 л</t>
        </is>
      </c>
      <c r="D111" s="151" t="inlineStr">
        <is>
          <t>пюре абрикос ) перелить в еще один отдельный мерник и добавить</t>
        </is>
      </c>
      <c r="E111" s="155" t="n"/>
    </row>
    <row r="112">
      <c r="A112" s="136" t="n"/>
      <c r="B112" s="176" t="inlineStr">
        <is>
          <t>Ореховый биттер</t>
        </is>
      </c>
      <c r="C112" s="155" t="inlineStr">
        <is>
          <t>0,15 л</t>
        </is>
      </c>
      <c r="D112" s="151" t="inlineStr">
        <is>
          <t xml:space="preserve">агар-агар. Очень быстро нагерть, что бы агар-агар не собрался в комочки. </t>
        </is>
      </c>
      <c r="E112" s="155" t="n"/>
    </row>
    <row r="113">
      <c r="A113" s="136" t="n"/>
      <c r="B113" s="176" t="inlineStr">
        <is>
          <t>Пюре абрикос</t>
        </is>
      </c>
      <c r="C113" s="155" t="inlineStr">
        <is>
          <t>0,5 кг</t>
        </is>
      </c>
      <c r="D113" s="151" t="inlineStr">
        <is>
          <t>Оставшиеся 2/3 массы перелить в мерник с алкогольными ингридиентами.</t>
        </is>
      </c>
      <c r="E113" s="155" t="n"/>
    </row>
    <row r="114">
      <c r="A114" s="136" t="n"/>
      <c r="B114" s="176" t="inlineStr">
        <is>
          <t>Молоко</t>
        </is>
      </c>
      <c r="C114" s="155" t="inlineStr">
        <is>
          <t>0,4 л</t>
        </is>
      </c>
      <c r="D114" s="151" t="inlineStr">
        <is>
          <t>Уже в общий примикс влить нашу горячцую оставшуюся  1/3 примикса ( очень</t>
        </is>
      </c>
      <c r="E114" s="155" t="n"/>
    </row>
    <row r="115">
      <c r="A115" s="136" t="n"/>
      <c r="B115" s="176" t="inlineStr">
        <is>
          <t>Лимонный фреш</t>
        </is>
      </c>
      <c r="C115" s="155" t="inlineStr">
        <is>
          <t>0,15 л</t>
        </is>
      </c>
      <c r="D115" s="151" t="inlineStr">
        <is>
          <t xml:space="preserve">медленно лить тонкой струйкой и перемешивать. В конце влить уже в общий </t>
        </is>
      </c>
      <c r="E115" s="155" t="n"/>
    </row>
    <row r="116">
      <c r="A116" s="136" t="n"/>
      <c r="B116" s="176" t="inlineStr">
        <is>
          <t>Агар</t>
        </is>
      </c>
      <c r="C116" s="155" t="inlineStr">
        <is>
          <t>1,7 грм</t>
        </is>
      </c>
      <c r="D116" s="151" t="inlineStr">
        <is>
          <t>мерник с примиксом лимонный фреш. Охладить в холодильнике, затем пробить</t>
        </is>
      </c>
      <c r="E116" s="155" t="n"/>
    </row>
    <row r="117">
      <c r="A117" s="136" t="n"/>
      <c r="B117" s="176" t="n"/>
      <c r="C117" s="155" t="n"/>
      <c r="D117" s="151" t="inlineStr">
        <is>
          <t>веньчиком желе и поставить файниться на кофе фильтры.</t>
        </is>
      </c>
      <c r="E117" s="155" t="n"/>
    </row>
    <row r="118">
      <c r="A118" s="140" t="n"/>
      <c r="B118" s="191" t="n"/>
      <c r="C118" s="208" t="n"/>
      <c r="D118" s="142" t="n"/>
      <c r="E118" s="208" t="n"/>
    </row>
    <row r="119">
      <c r="A119" s="195" t="inlineStr">
        <is>
          <t>Б/а Пина-колада</t>
        </is>
      </c>
      <c r="B119" s="176" t="inlineStr">
        <is>
          <t>Б/а Ром ( Drinksome )</t>
        </is>
      </c>
      <c r="C119" s="155" t="inlineStr">
        <is>
          <t>0,7 л</t>
        </is>
      </c>
      <c r="D119" s="151" t="inlineStr">
        <is>
          <t>Смешать все ингридиенты, кроме б/а рома в мернике. Затем смешать: пюре ананас и</t>
        </is>
      </c>
      <c r="E119" s="155" t="inlineStr">
        <is>
          <t>1,2 л</t>
        </is>
      </c>
    </row>
    <row r="120">
      <c r="A120" s="196" t="inlineStr">
        <is>
          <t>8 VIP</t>
        </is>
      </c>
      <c r="B120" s="176" t="inlineStr">
        <is>
          <t>Сироп кокос</t>
        </is>
      </c>
      <c r="C120" s="155" t="inlineStr">
        <is>
          <t>0,2 л</t>
        </is>
      </c>
      <c r="D120" s="151" t="inlineStr">
        <is>
          <t>молоко в отдельном мернике. 1/3 от этой массы ( где у вас молоко и</t>
        </is>
      </c>
      <c r="E120" s="155" t="n"/>
    </row>
    <row r="121">
      <c r="A121" s="136" t="n"/>
      <c r="B121" s="176" t="inlineStr">
        <is>
          <t>Молоко кокосовое</t>
        </is>
      </c>
      <c r="C121" s="155" t="inlineStr">
        <is>
          <t>0,4 л</t>
        </is>
      </c>
      <c r="D121" s="151" t="inlineStr">
        <is>
          <t>пюре ананас ) перелить в еще один отдельный мерник и добавить</t>
        </is>
      </c>
      <c r="E121" s="155" t="n"/>
    </row>
    <row r="122">
      <c r="A122" s="136" t="n"/>
      <c r="B122" s="176" t="inlineStr">
        <is>
          <t>Пюре ананс</t>
        </is>
      </c>
      <c r="C122" s="155" t="inlineStr">
        <is>
          <t>0,5 кг</t>
        </is>
      </c>
      <c r="D122" s="151" t="inlineStr">
        <is>
          <t xml:space="preserve">агар-агар. Очень быстро нагерть, что бы агар-агар не собрался в комочки. </t>
        </is>
      </c>
      <c r="E122" s="155" t="n"/>
    </row>
    <row r="123">
      <c r="A123" s="136" t="n"/>
      <c r="B123" s="176" t="inlineStr">
        <is>
          <t>Лимонный фреш</t>
        </is>
      </c>
      <c r="C123" s="155" t="inlineStr">
        <is>
          <t>0,15 л</t>
        </is>
      </c>
      <c r="D123" s="151" t="inlineStr">
        <is>
          <t>Оставшиеся 2/3 массы перелить в мерник со всеми ингридиентами.</t>
        </is>
      </c>
      <c r="E123" s="155" t="n"/>
    </row>
    <row r="124">
      <c r="A124" s="136" t="n"/>
      <c r="B124" s="176" t="inlineStr">
        <is>
          <t>Агар</t>
        </is>
      </c>
      <c r="C124" s="155" t="inlineStr">
        <is>
          <t>1,7 грм</t>
        </is>
      </c>
      <c r="D124" s="151" t="inlineStr">
        <is>
          <t>Уже в общий примикс влить нашу горячцую оставшуюся  1/3 примикса ( очень</t>
        </is>
      </c>
      <c r="E124" s="155" t="n"/>
    </row>
    <row r="125">
      <c r="A125" s="136" t="n"/>
      <c r="B125" s="176" t="n"/>
      <c r="C125" s="155" t="n"/>
      <c r="D125" s="151" t="inlineStr">
        <is>
          <t xml:space="preserve">медленно лить тонкой струйкой и перемешивать. В конце влить уже в общий </t>
        </is>
      </c>
      <c r="E125" s="155" t="n"/>
    </row>
    <row r="126">
      <c r="A126" s="136" t="n"/>
      <c r="B126" s="176" t="n"/>
      <c r="C126" s="155" t="n"/>
      <c r="D126" s="151" t="inlineStr">
        <is>
          <t>мерник с примиксом лимонный фреш. Охладить в холодильнике, затем пробить</t>
        </is>
      </c>
      <c r="E126" s="155" t="n"/>
    </row>
    <row r="127">
      <c r="A127" s="136" t="n"/>
      <c r="B127" s="176" t="n"/>
      <c r="C127" s="155" t="n"/>
      <c r="D127" s="151" t="inlineStr">
        <is>
          <t>веньчиком желе и поставить файниться на кофе фильтры.</t>
        </is>
      </c>
      <c r="E127" s="155" t="n"/>
    </row>
    <row r="128">
      <c r="A128" s="201" t="inlineStr">
        <is>
          <t>Acids</t>
        </is>
      </c>
      <c r="B128" s="202" t="inlineStr">
        <is>
          <t>Ингридиенты</t>
        </is>
      </c>
      <c r="C128" s="202" t="inlineStr">
        <is>
          <t>кол-во</t>
        </is>
      </c>
      <c r="D128" s="202" t="inlineStr">
        <is>
          <t>Способ</t>
        </is>
      </c>
      <c r="E128" s="202" t="inlineStr">
        <is>
          <t>Выход</t>
        </is>
      </c>
    </row>
    <row r="129">
      <c r="A129" s="216" t="inlineStr">
        <is>
          <t>Молочная кислота</t>
        </is>
      </c>
      <c r="B129" s="155" t="inlineStr">
        <is>
          <t>Молочная кислота 80%</t>
        </is>
      </c>
      <c r="C129" s="155" t="inlineStr">
        <is>
          <t>50 грм</t>
        </is>
      </c>
      <c r="D129" s="207" t="inlineStr">
        <is>
          <t>Смешать до полного растворения</t>
        </is>
      </c>
      <c r="E129" s="155" t="inlineStr">
        <is>
          <t>1,05 л</t>
        </is>
      </c>
    </row>
    <row r="130">
      <c r="A130" s="136" t="n"/>
      <c r="B130" s="155" t="inlineStr">
        <is>
          <t>Вода</t>
        </is>
      </c>
      <c r="C130" s="155" t="inlineStr">
        <is>
          <t>1л</t>
        </is>
      </c>
      <c r="D130" s="207" t="n"/>
      <c r="E130" s="155" t="n"/>
    </row>
    <row r="131">
      <c r="A131" s="216" t="inlineStr">
        <is>
          <t>Фруктоза</t>
        </is>
      </c>
      <c r="B131" s="155" t="inlineStr">
        <is>
          <t>Фруктоза</t>
        </is>
      </c>
      <c r="C131" s="155" t="inlineStr">
        <is>
          <t>1100 грм</t>
        </is>
      </c>
      <c r="D131" s="207" t="inlineStr">
        <is>
          <t>Смешать до полного растворения</t>
        </is>
      </c>
      <c r="E131" s="155" t="inlineStr">
        <is>
          <t>1 л</t>
        </is>
      </c>
    </row>
    <row r="132">
      <c r="A132" s="136" t="n"/>
      <c r="B132" s="155" t="inlineStr">
        <is>
          <t>Вода</t>
        </is>
      </c>
      <c r="C132" s="155" t="inlineStr">
        <is>
          <t>1л</t>
        </is>
      </c>
      <c r="D132" s="207" t="n"/>
      <c r="E132" s="155" t="n"/>
    </row>
    <row r="133">
      <c r="A133" s="205" t="inlineStr">
        <is>
          <t>Сordials</t>
        </is>
      </c>
      <c r="B133" s="206" t="inlineStr">
        <is>
          <t>Ингридиенты</t>
        </is>
      </c>
      <c r="C133" s="206" t="inlineStr">
        <is>
          <t>кол-во</t>
        </is>
      </c>
      <c r="D133" s="206" t="inlineStr">
        <is>
          <t>Способ</t>
        </is>
      </c>
      <c r="E133" s="206" t="inlineStr">
        <is>
          <t>Выход</t>
        </is>
      </c>
    </row>
    <row r="134">
      <c r="A134" s="216" t="inlineStr">
        <is>
          <t>Кордиал ( simple )</t>
        </is>
      </c>
      <c r="B134" s="155" t="inlineStr">
        <is>
          <t>Молочная кислота ПФ</t>
        </is>
      </c>
      <c r="C134" s="155" t="inlineStr">
        <is>
          <t>700 мл</t>
        </is>
      </c>
      <c r="D134" s="207" t="inlineStr">
        <is>
          <t>Смешать до полного растворения</t>
        </is>
      </c>
      <c r="E134" s="155" t="inlineStr">
        <is>
          <t>1,2 л</t>
        </is>
      </c>
    </row>
    <row r="135">
      <c r="A135" s="136" t="n"/>
      <c r="B135" s="155" t="inlineStr">
        <is>
          <t>Фруктоза ПФ</t>
        </is>
      </c>
      <c r="C135" s="155" t="inlineStr">
        <is>
          <t>500 мл</t>
        </is>
      </c>
      <c r="D135" s="207" t="n"/>
      <c r="E135" s="155" t="n"/>
    </row>
    <row r="136">
      <c r="A136" s="140" t="n"/>
      <c r="B136" s="208" t="n"/>
      <c r="C136" s="208" t="n"/>
      <c r="D136" s="142" t="n"/>
      <c r="E136" s="208" t="n"/>
    </row>
    <row r="137">
      <c r="A137" s="195" t="inlineStr">
        <is>
          <t>Кордиал каркаде/малина/клюква</t>
        </is>
      </c>
      <c r="B137" s="155" t="inlineStr">
        <is>
          <t>Вода</t>
        </is>
      </c>
      <c r="C137" s="155" t="inlineStr">
        <is>
          <t>300 мл</t>
        </is>
      </c>
      <c r="D137" s="207" t="inlineStr">
        <is>
          <t>Смешать все ингридиенты в сотейнике. Размешать до однородной массы, добавить</t>
        </is>
      </c>
      <c r="E137" s="155" t="inlineStr">
        <is>
          <t>0,8 л</t>
        </is>
      </c>
    </row>
    <row r="138">
      <c r="A138" s="196" t="inlineStr">
        <is>
          <t>8 VIP</t>
        </is>
      </c>
      <c r="B138" s="155" t="inlineStr">
        <is>
          <t>Сироп малина</t>
        </is>
      </c>
      <c r="C138" s="155" t="inlineStr">
        <is>
          <t>300 мл</t>
        </is>
      </c>
      <c r="D138" s="207" t="inlineStr">
        <is>
          <t>чай каркаде и с/м клюкву. Варить до кипения, затем хорошенько перемешать, остудить</t>
        </is>
      </c>
      <c r="E138" s="155" t="n"/>
    </row>
    <row r="139">
      <c r="A139" s="136" t="n"/>
      <c r="B139" s="155" t="inlineStr">
        <is>
          <t>Клюква биттер</t>
        </is>
      </c>
      <c r="C139" s="155" t="inlineStr">
        <is>
          <t>100 мл</t>
        </is>
      </c>
      <c r="D139" s="207" t="inlineStr">
        <is>
          <t>и в самом конце добавить концентрированную молочную кислоту 80%.</t>
        </is>
      </c>
      <c r="E139" s="155" t="n"/>
    </row>
    <row r="140">
      <c r="A140" s="136" t="n"/>
      <c r="B140" s="155" t="inlineStr">
        <is>
          <t>Сахар песок</t>
        </is>
      </c>
      <c r="C140" s="155" t="inlineStr">
        <is>
          <t>300 грм</t>
        </is>
      </c>
      <c r="D140" s="207" t="n"/>
      <c r="E140" s="155" t="n"/>
    </row>
    <row r="141">
      <c r="A141" s="136" t="n"/>
      <c r="B141" s="155" t="inlineStr">
        <is>
          <t>Каркаде чай</t>
        </is>
      </c>
      <c r="C141" s="155" t="inlineStr">
        <is>
          <t>25 грм</t>
        </is>
      </c>
      <c r="D141" s="207" t="n"/>
      <c r="E141" s="155" t="n"/>
    </row>
    <row r="142">
      <c r="A142" s="136" t="n"/>
      <c r="B142" s="155" t="inlineStr">
        <is>
          <t>Клюква с/м</t>
        </is>
      </c>
      <c r="C142" s="155" t="inlineStr">
        <is>
          <t>100 грм</t>
        </is>
      </c>
      <c r="D142" s="207" t="n"/>
      <c r="E142" s="155" t="n"/>
    </row>
    <row r="143">
      <c r="A143" s="136" t="n"/>
      <c r="B143" s="155" t="inlineStr">
        <is>
          <t>Молочная кислота 80%</t>
        </is>
      </c>
      <c r="C143" s="155" t="inlineStr">
        <is>
          <t xml:space="preserve"> 25 мл</t>
        </is>
      </c>
      <c r="D143" s="207" t="n"/>
      <c r="E143" s="155" t="n"/>
    </row>
    <row r="144">
      <c r="A144" s="140" t="n"/>
      <c r="B144" s="208" t="n"/>
      <c r="C144" s="208" t="n"/>
      <c r="D144" s="142" t="n"/>
      <c r="E144" s="208" t="n"/>
    </row>
    <row r="145">
      <c r="A145" s="195" t="inlineStr">
        <is>
          <t>Кордиал персик/специи</t>
        </is>
      </c>
      <c r="B145" s="155" t="inlineStr">
        <is>
          <t>Вода</t>
        </is>
      </c>
      <c r="C145" s="155" t="inlineStr">
        <is>
          <t>300 мл</t>
        </is>
      </c>
      <c r="D145" s="207" t="inlineStr">
        <is>
          <t>Смешать все ингридиенты в сотейнике. Размешать до однородной массы.</t>
        </is>
      </c>
      <c r="E145" s="155" t="inlineStr">
        <is>
          <t>0,8 л</t>
        </is>
      </c>
    </row>
    <row r="146">
      <c r="A146" s="196" t="inlineStr">
        <is>
          <t>8 VIP</t>
        </is>
      </c>
      <c r="B146" s="155" t="inlineStr">
        <is>
          <t>Сироп персик</t>
        </is>
      </c>
      <c r="C146" s="155" t="inlineStr">
        <is>
          <t>300 мл</t>
        </is>
      </c>
      <c r="D146" s="207" t="inlineStr">
        <is>
          <t>Варить до кипения, затем хорошенько перемешать, остудить</t>
        </is>
      </c>
      <c r="E146" s="155" t="n"/>
    </row>
    <row r="147">
      <c r="A147" s="136" t="n"/>
      <c r="B147" s="155" t="inlineStr">
        <is>
          <t>Сахар песок</t>
        </is>
      </c>
      <c r="C147" s="155" t="inlineStr">
        <is>
          <t>300 грм</t>
        </is>
      </c>
      <c r="D147" s="207" t="inlineStr">
        <is>
          <t>и в самом конце добавить концентрированную молочную кислоту 80%.</t>
        </is>
      </c>
      <c r="E147" s="155" t="n"/>
    </row>
    <row r="148">
      <c r="A148" s="136" t="n"/>
      <c r="B148" s="155" t="inlineStr">
        <is>
          <t>Специи биттер</t>
        </is>
      </c>
      <c r="C148" s="155" t="inlineStr">
        <is>
          <t>100 грм</t>
        </is>
      </c>
      <c r="D148" s="207" t="n"/>
      <c r="E148" s="155" t="n"/>
    </row>
    <row r="149">
      <c r="A149" s="136" t="n"/>
      <c r="B149" s="155" t="inlineStr">
        <is>
          <t>Молочная кислота 80%</t>
        </is>
      </c>
      <c r="C149" s="155" t="inlineStr">
        <is>
          <t>25 грм</t>
        </is>
      </c>
      <c r="D149" s="207" t="n"/>
      <c r="E149" s="155" t="n"/>
    </row>
    <row r="150">
      <c r="A150" s="140" t="n"/>
      <c r="B150" s="208" t="n"/>
      <c r="C150" s="208" t="n"/>
      <c r="D150" s="142" t="n"/>
      <c r="E150" s="208" t="n"/>
    </row>
    <row r="151">
      <c r="A151" s="195" t="inlineStr">
        <is>
          <t>Кордиал ч.смородина/лаванда</t>
        </is>
      </c>
      <c r="B151" s="155" t="inlineStr">
        <is>
          <t>Вода</t>
        </is>
      </c>
      <c r="C151" s="155" t="inlineStr">
        <is>
          <t>300 мл</t>
        </is>
      </c>
      <c r="D151" s="207" t="inlineStr">
        <is>
          <t>Смешать все ингридиенты в сотейнике. Размешать до однородной массы.</t>
        </is>
      </c>
      <c r="E151" s="155" t="n">
        <v>0.8</v>
      </c>
    </row>
    <row r="152">
      <c r="A152" s="196" t="inlineStr">
        <is>
          <t>8 VIP</t>
        </is>
      </c>
      <c r="B152" s="155" t="inlineStr">
        <is>
          <t>Сироп ч.смородина</t>
        </is>
      </c>
      <c r="C152" s="155" t="inlineStr">
        <is>
          <t>300 мл</t>
        </is>
      </c>
      <c r="D152" s="207" t="inlineStr">
        <is>
          <t>Варить до кипения, затем хорошенько перемешать, остудить</t>
        </is>
      </c>
      <c r="E152" s="155" t="n"/>
    </row>
    <row r="153">
      <c r="A153" s="136" t="n"/>
      <c r="B153" s="155" t="inlineStr">
        <is>
          <t>Сахар песок</t>
        </is>
      </c>
      <c r="C153" s="155" t="inlineStr">
        <is>
          <t>300 грм</t>
        </is>
      </c>
      <c r="D153" s="207" t="inlineStr">
        <is>
          <t>и в самом конце добавить концентрированную молочную кислоту 80%.</t>
        </is>
      </c>
      <c r="E153" s="155" t="n"/>
    </row>
    <row r="154">
      <c r="A154" s="136" t="n"/>
      <c r="B154" s="155" t="inlineStr">
        <is>
          <t>Гидролат лаванды</t>
        </is>
      </c>
      <c r="C154" s="155" t="inlineStr">
        <is>
          <t>100 грм</t>
        </is>
      </c>
      <c r="D154" s="207" t="n"/>
      <c r="E154" s="155" t="n"/>
    </row>
    <row r="155">
      <c r="A155" s="136" t="n"/>
      <c r="B155" s="155" t="inlineStr">
        <is>
          <t>Молочная кислота 80%</t>
        </is>
      </c>
      <c r="C155" s="155" t="inlineStr">
        <is>
          <t>25 грм</t>
        </is>
      </c>
      <c r="D155" s="207" t="n"/>
      <c r="E155" s="155" t="n"/>
    </row>
    <row r="156">
      <c r="A156" s="140" t="n"/>
      <c r="B156" s="208" t="n"/>
      <c r="C156" s="208" t="n"/>
      <c r="D156" s="142" t="n"/>
      <c r="E156" s="208" t="n"/>
    </row>
    <row r="157">
      <c r="A157" s="210" t="inlineStr">
        <is>
          <t>Цитрус/огурец кордиал</t>
        </is>
      </c>
      <c r="B157" s="213" t="inlineStr">
        <is>
          <t xml:space="preserve">Огурец </t>
        </is>
      </c>
      <c r="C157" s="213" t="inlineStr">
        <is>
          <t>5 шт</t>
        </is>
      </c>
      <c r="D157" s="212" t="inlineStr">
        <is>
          <t xml:space="preserve">Почистить и порезать огурец ( также, как и на сироп огурец ), снять цедру со </t>
        </is>
      </c>
      <c r="E157" s="213" t="inlineStr">
        <is>
          <t>2,2 л</t>
        </is>
      </c>
    </row>
    <row r="158">
      <c r="A158" s="136" t="n"/>
      <c r="B158" s="155" t="inlineStr">
        <is>
          <t>Лайм</t>
        </is>
      </c>
      <c r="C158" s="155" t="inlineStr">
        <is>
          <t>5 шт</t>
        </is>
      </c>
      <c r="D158" s="207" t="inlineStr">
        <is>
          <t>всех лаймов ( с этих же лаймов выдаваить фреш ). Добавить: лимонный фреш, лаймовый</t>
        </is>
      </c>
      <c r="E158" s="155" t="n"/>
    </row>
    <row r="159">
      <c r="A159" s="136" t="n"/>
      <c r="B159" s="155" t="inlineStr">
        <is>
          <t>Лайм фреш</t>
        </is>
      </c>
      <c r="C159" s="155" t="inlineStr">
        <is>
          <t>100 мл</t>
        </is>
      </c>
      <c r="D159" s="207" t="inlineStr">
        <is>
          <t xml:space="preserve">фреш, нарезанный огурец, цедру лайма, листы лайма и 1 л сахарного сиропа, </t>
        </is>
      </c>
      <c r="E159" s="155" t="n"/>
    </row>
    <row r="160">
      <c r="A160" s="136" t="n"/>
      <c r="B160" s="155" t="inlineStr">
        <is>
          <t>Лимон фреш</t>
        </is>
      </c>
      <c r="C160" s="155" t="inlineStr">
        <is>
          <t>100 мл</t>
        </is>
      </c>
      <c r="D160" s="207" t="inlineStr">
        <is>
          <t>Спустя 2 часа профайнить. После того, как профайнили, добавить молочную</t>
        </is>
      </c>
      <c r="E160" s="155" t="n"/>
    </row>
    <row r="161">
      <c r="A161" s="136" t="n"/>
      <c r="B161" s="155" t="inlineStr">
        <is>
          <t>Лист лайма</t>
        </is>
      </c>
      <c r="C161" s="155" t="inlineStr">
        <is>
          <t>20 грм</t>
        </is>
      </c>
      <c r="D161" s="207" t="inlineStr">
        <is>
          <t>кислоту ( 80% ) и перемешать.</t>
        </is>
      </c>
      <c r="E161" s="155" t="n"/>
    </row>
    <row r="162">
      <c r="A162" s="136" t="n"/>
      <c r="B162" s="155" t="inlineStr">
        <is>
          <t>Сироп сахар</t>
        </is>
      </c>
      <c r="C162" s="155" t="inlineStr">
        <is>
          <t>1,5 л</t>
        </is>
      </c>
      <c r="D162" s="207" t="n"/>
      <c r="E162" s="155" t="n"/>
    </row>
    <row r="163">
      <c r="A163" s="136" t="n"/>
      <c r="B163" s="155" t="inlineStr">
        <is>
          <t>Молочная кислота 80%</t>
        </is>
      </c>
      <c r="C163" s="155" t="inlineStr">
        <is>
          <t>25 мл</t>
        </is>
      </c>
      <c r="D163" s="207" t="n"/>
      <c r="E163" s="155" t="n"/>
    </row>
    <row r="164">
      <c r="A164" s="214" t="inlineStr">
        <is>
          <t>Other</t>
        </is>
      </c>
      <c r="B164" s="215" t="inlineStr">
        <is>
          <t>Ингридиенты</t>
        </is>
      </c>
      <c r="C164" s="215" t="inlineStr">
        <is>
          <t>кол-во</t>
        </is>
      </c>
      <c r="D164" s="215" t="inlineStr">
        <is>
          <t>Способ</t>
        </is>
      </c>
      <c r="E164" s="215" t="inlineStr">
        <is>
          <t>Выход</t>
        </is>
      </c>
    </row>
    <row r="165">
      <c r="A165" s="216" t="inlineStr">
        <is>
          <t>Желе Молнии</t>
        </is>
      </c>
      <c r="B165" s="155" t="inlineStr">
        <is>
          <t>Вода</t>
        </is>
      </c>
      <c r="C165" s="155" t="inlineStr">
        <is>
          <t>120 мл</t>
        </is>
      </c>
      <c r="D165" s="207" t="inlineStr">
        <is>
          <t xml:space="preserve">Смешать все  ингридиенты в сотейник, закидываешь агар, адски греешь на </t>
        </is>
      </c>
      <c r="E165" s="155" t="inlineStr">
        <is>
          <t>300 мл</t>
        </is>
      </c>
    </row>
    <row r="166">
      <c r="A166" s="136" t="n"/>
      <c r="B166" s="155" t="inlineStr">
        <is>
          <t>Сироп Блю Курасао</t>
        </is>
      </c>
      <c r="C166" s="155" t="inlineStr">
        <is>
          <t>120 мл</t>
        </is>
      </c>
      <c r="D166" s="207" t="inlineStr">
        <is>
          <t>плите. После того, как эта вся жижа нагрелась ( образовалась пена ), выключаем</t>
        </is>
      </c>
      <c r="E166" s="155" t="n"/>
    </row>
    <row r="167">
      <c r="A167" s="136" t="n"/>
      <c r="B167" s="155" t="inlineStr">
        <is>
          <t>Сироп Кокос</t>
        </is>
      </c>
      <c r="C167" s="155" t="inlineStr">
        <is>
          <t>60 мл</t>
        </is>
      </c>
      <c r="D167" s="207" t="inlineStr">
        <is>
          <t xml:space="preserve">плиту, температура должна быть не менее 110 градусов,  перемешиваем ложкой </t>
        </is>
      </c>
      <c r="E167" s="155" t="n"/>
    </row>
    <row r="168">
      <c r="A168" s="136" t="n"/>
      <c r="B168" s="155" t="inlineStr">
        <is>
          <t>Молочная кислота ( разбавленная )</t>
        </is>
      </c>
      <c r="C168" s="155" t="inlineStr">
        <is>
          <t>60 мл</t>
        </is>
      </c>
      <c r="D168" s="207" t="inlineStr">
        <is>
          <t>до полного растворения, вылить на тарелку ( овальную ). Держим при комнатной</t>
        </is>
      </c>
      <c r="E168" s="155" t="n"/>
    </row>
    <row r="169">
      <c r="A169" s="136" t="n"/>
      <c r="B169" s="155" t="inlineStr">
        <is>
          <t>Агар</t>
        </is>
      </c>
      <c r="C169" s="155" t="inlineStr">
        <is>
          <t>8 грм</t>
        </is>
      </c>
      <c r="D169" s="207" t="inlineStr">
        <is>
          <t>температуре 15-20 мин, после всю эту тарелку убираем в холодильник.</t>
        </is>
      </c>
      <c r="E169" s="155" t="n"/>
    </row>
    <row r="170">
      <c r="A170" s="140" t="n"/>
      <c r="B170" s="208" t="n"/>
      <c r="C170" s="208" t="n"/>
      <c r="D170" s="142" t="n"/>
      <c r="E170" s="208" t="n"/>
    </row>
    <row r="171">
      <c r="A171" s="216" t="inlineStr">
        <is>
          <t>Пена  ( Austin Powers )</t>
        </is>
      </c>
      <c r="B171" s="176" t="inlineStr">
        <is>
          <t>Пюре Агробар ананас</t>
        </is>
      </c>
      <c r="C171" s="176" t="inlineStr">
        <is>
          <t>0,4 кг</t>
        </is>
      </c>
      <c r="D171" s="207" t="inlineStr">
        <is>
          <t>Смешать все ингридиенты в блендере, пробить все ингридиенты в блендере,</t>
        </is>
      </c>
      <c r="E171" s="155" t="inlineStr">
        <is>
          <t>0,6 мл</t>
        </is>
      </c>
    </row>
    <row r="172">
      <c r="A172" s="136" t="n"/>
      <c r="B172" s="176" t="inlineStr">
        <is>
          <t>Сироп банан</t>
        </is>
      </c>
      <c r="C172" s="176" t="inlineStr">
        <is>
          <t>0,1 л</t>
        </is>
      </c>
      <c r="D172" s="207" t="inlineStr">
        <is>
          <t xml:space="preserve">после, влить всё из блендера всифон, вставить баллон ( специальный для крема, не СО2 ) </t>
        </is>
      </c>
      <c r="E172" s="155" t="n"/>
    </row>
    <row r="173">
      <c r="A173" s="136" t="n"/>
      <c r="B173" s="176" t="inlineStr">
        <is>
          <t xml:space="preserve">Вода </t>
        </is>
      </c>
      <c r="C173" s="176" t="inlineStr">
        <is>
          <t>0,25 л</t>
        </is>
      </c>
      <c r="D173" s="207" t="inlineStr">
        <is>
          <t>1 баллона хватит</t>
        </is>
      </c>
      <c r="E173" s="155" t="n"/>
    </row>
    <row r="174">
      <c r="A174" s="76" t="n"/>
      <c r="B174" s="144" t="inlineStr">
        <is>
          <t>Баблдроп</t>
        </is>
      </c>
      <c r="C174" s="144" t="inlineStr">
        <is>
          <t>5 дроп</t>
        </is>
      </c>
      <c r="D174" s="217" t="n"/>
      <c r="E174" s="218" t="n"/>
    </row>
    <row r="175">
      <c r="A175" s="44" t="n"/>
      <c r="B175" s="228" t="inlineStr">
        <is>
          <t>Ксантановая камель</t>
        </is>
      </c>
      <c r="C175" s="228" t="inlineStr">
        <is>
          <t>1,8 грм ( не больше )</t>
        </is>
      </c>
      <c r="D175" s="44" t="n"/>
      <c r="E175" s="220" t="n"/>
    </row>
    <row r="176">
      <c r="A176" s="221" t="n"/>
      <c r="B176" s="222" t="n"/>
      <c r="C176" s="222" t="n"/>
      <c r="D176" s="224" t="n"/>
      <c r="E176" s="222" t="n"/>
    </row>
    <row r="177">
      <c r="A177" s="225" t="inlineStr">
        <is>
          <t>BB энергетик</t>
        </is>
      </c>
      <c r="B177" s="228" t="inlineStr">
        <is>
          <t>Морс</t>
        </is>
      </c>
      <c r="C177" s="228" t="inlineStr">
        <is>
          <t>500 мл</t>
        </is>
      </c>
      <c r="D177" s="229" t="n"/>
      <c r="E177" s="228" t="inlineStr">
        <is>
          <t>0,9 мл</t>
        </is>
      </c>
    </row>
    <row r="178">
      <c r="A178" s="229" t="n"/>
      <c r="B178" s="228" t="inlineStr">
        <is>
          <t>Сироп клюква/лаванда</t>
        </is>
      </c>
      <c r="C178" s="228" t="inlineStr">
        <is>
          <t>100 мл</t>
        </is>
      </c>
      <c r="D178" s="229" t="n"/>
      <c r="E178" s="228" t="n"/>
    </row>
    <row r="179">
      <c r="A179" s="229" t="n"/>
      <c r="B179" s="228" t="inlineStr">
        <is>
          <t>Вода</t>
        </is>
      </c>
      <c r="C179" s="228" t="inlineStr">
        <is>
          <t>200 мл</t>
        </is>
      </c>
      <c r="D179" s="229" t="n"/>
      <c r="E179" s="228" t="n"/>
    </row>
    <row r="180">
      <c r="A180" s="229" t="n"/>
      <c r="B180" s="228" t="inlineStr">
        <is>
          <t>Таурин</t>
        </is>
      </c>
      <c r="C180" s="228" t="inlineStr">
        <is>
          <t>7 грм</t>
        </is>
      </c>
      <c r="D180" s="229" t="n"/>
      <c r="E180" s="228" t="n"/>
    </row>
    <row r="181">
      <c r="A181" s="229" t="n"/>
      <c r="B181" s="228" t="inlineStr">
        <is>
          <t>Гуарана</t>
        </is>
      </c>
      <c r="C181" s="228" t="inlineStr">
        <is>
          <t>3 колбы</t>
        </is>
      </c>
      <c r="D181" s="229" t="n"/>
      <c r="E181" s="228" t="n"/>
    </row>
    <row r="182">
      <c r="A182" s="229" t="n"/>
      <c r="B182" s="228" t="inlineStr">
        <is>
          <t>Сироп Сахар</t>
        </is>
      </c>
      <c r="C182" s="228" t="inlineStr">
        <is>
          <t>60 мл</t>
        </is>
      </c>
      <c r="D182" s="229" t="n"/>
      <c r="E182" s="228" t="n"/>
    </row>
    <row r="183">
      <c r="A183" s="229" t="n"/>
      <c r="B183" s="228" t="inlineStr">
        <is>
          <t>Молочная кислота ПФ</t>
        </is>
      </c>
      <c r="C183" s="228" t="inlineStr">
        <is>
          <t>40 мл</t>
        </is>
      </c>
      <c r="D183" s="229" t="n"/>
      <c r="E183" s="228" t="n"/>
    </row>
    <row r="184">
      <c r="A184" s="229" t="n"/>
      <c r="B184" s="228" t="inlineStr">
        <is>
          <t>Баллон со2</t>
        </is>
      </c>
      <c r="C184" s="228" t="inlineStr">
        <is>
          <t>1шт</t>
        </is>
      </c>
      <c r="D184" s="229" t="n"/>
      <c r="E184" s="228" t="n"/>
    </row>
    <row r="185">
      <c r="B185" s="230" t="n"/>
      <c r="C185" s="230" t="n"/>
      <c r="E185" s="230" t="n"/>
    </row>
    <row r="186">
      <c r="B186" s="230" t="n"/>
      <c r="C186" s="231" t="inlineStr">
        <is>
          <t>new Patch</t>
        </is>
      </c>
      <c r="E186" s="230" t="n"/>
    </row>
    <row r="187">
      <c r="B187" s="230" t="n"/>
      <c r="C187" s="230" t="n"/>
      <c r="E187" s="230" t="n"/>
    </row>
    <row r="188">
      <c r="A188" s="232" t="inlineStr">
        <is>
          <t>Название</t>
        </is>
      </c>
      <c r="B188" s="232" t="inlineStr">
        <is>
          <t>Ингридиенты</t>
        </is>
      </c>
      <c r="C188" s="232" t="inlineStr">
        <is>
          <t>Кол-во</t>
        </is>
      </c>
      <c r="D188" s="232" t="inlineStr">
        <is>
          <t>Способ</t>
        </is>
      </c>
      <c r="E188" s="232" t="inlineStr">
        <is>
          <t>Выход</t>
        </is>
      </c>
    </row>
    <row r="189">
      <c r="A189" s="183" t="inlineStr">
        <is>
          <t>Infusions</t>
        </is>
      </c>
      <c r="B189" s="184" t="inlineStr">
        <is>
          <t>Ингридиенты</t>
        </is>
      </c>
      <c r="C189" s="184" t="inlineStr">
        <is>
          <t>кол-во</t>
        </is>
      </c>
      <c r="D189" s="184" t="inlineStr">
        <is>
          <t>Способ</t>
        </is>
      </c>
      <c r="E189" s="184" t="inlineStr">
        <is>
          <t>Выход</t>
        </is>
      </c>
    </row>
    <row r="190">
      <c r="A190" s="233" t="inlineStr">
        <is>
          <t>inf Vodka/орех</t>
        </is>
      </c>
      <c r="B190" s="144" t="inlineStr">
        <is>
          <t>водка ( Tundra )</t>
        </is>
      </c>
      <c r="C190" s="144" t="inlineStr">
        <is>
          <t>500 мл</t>
        </is>
      </c>
      <c r="D190" s="145" t="inlineStr">
        <is>
          <t>Смешать все ингридиенты в вакуумном пакете.</t>
        </is>
      </c>
      <c r="E190" s="144" t="inlineStr">
        <is>
          <t>500 мл</t>
        </is>
      </c>
    </row>
    <row r="191">
      <c r="A191" s="71" t="n"/>
      <c r="B191" s="144" t="inlineStr">
        <is>
          <t>грецкий орех</t>
        </is>
      </c>
      <c r="C191" s="144" t="inlineStr">
        <is>
          <t>50 грм</t>
        </is>
      </c>
      <c r="D191" s="145" t="inlineStr">
        <is>
          <t>Сувид 57 градусов/3 часа. Процедить.</t>
        </is>
      </c>
      <c r="E191" s="234" t="n"/>
    </row>
    <row r="192">
      <c r="A192" s="235" t="n"/>
      <c r="B192" s="236" t="n"/>
      <c r="C192" s="236" t="n"/>
      <c r="D192" s="235" t="n"/>
      <c r="E192" s="236" t="n"/>
    </row>
    <row r="193">
      <c r="A193" s="233" t="inlineStr">
        <is>
          <t>inf Vodka/HOLS</t>
        </is>
      </c>
      <c r="B193" s="144" t="inlineStr">
        <is>
          <t>водка ( Tundra )</t>
        </is>
      </c>
      <c r="C193" s="144" t="inlineStr">
        <is>
          <t>500 мл</t>
        </is>
      </c>
      <c r="D193" s="145" t="inlineStr">
        <is>
          <t>Смешать все ингридиенты в вакуумном пакете.</t>
        </is>
      </c>
      <c r="E193" s="144" t="inlineStr">
        <is>
          <t>500 мл</t>
        </is>
      </c>
    </row>
    <row r="194">
      <c r="A194" s="71" t="n"/>
      <c r="B194" s="144" t="inlineStr">
        <is>
          <t>холс</t>
        </is>
      </c>
      <c r="C194" s="144" t="inlineStr">
        <is>
          <t>15 шт</t>
        </is>
      </c>
      <c r="D194" s="145" t="inlineStr">
        <is>
          <t>Сувид 57 градусов/3 часа. Процедить.</t>
        </is>
      </c>
      <c r="E194" s="234" t="n"/>
    </row>
    <row r="195">
      <c r="A195" s="235" t="n"/>
      <c r="B195" s="236" t="n"/>
      <c r="C195" s="236" t="n"/>
      <c r="D195" s="235" t="n"/>
      <c r="E195" s="236" t="n"/>
    </row>
    <row r="196">
      <c r="A196" s="233" t="inlineStr">
        <is>
          <t>inf Gin/HOLS</t>
        </is>
      </c>
      <c r="B196" s="144" t="inlineStr">
        <is>
          <t>джин ( Bosford )</t>
        </is>
      </c>
      <c r="C196" s="144" t="inlineStr">
        <is>
          <t>500 мл</t>
        </is>
      </c>
      <c r="D196" s="145" t="inlineStr">
        <is>
          <t>Смешать все ингридиенты в вакуумном пакете.</t>
        </is>
      </c>
      <c r="E196" s="234" t="n"/>
    </row>
    <row r="197">
      <c r="A197" s="71" t="n"/>
      <c r="B197" s="144" t="inlineStr">
        <is>
          <t>холс</t>
        </is>
      </c>
      <c r="C197" s="144" t="inlineStr">
        <is>
          <t>15 шт</t>
        </is>
      </c>
      <c r="D197" s="145" t="inlineStr">
        <is>
          <t>Сувид 57 градусов/3 часа. Процедить.</t>
        </is>
      </c>
      <c r="E197" s="234" t="n"/>
    </row>
    <row r="198">
      <c r="A198" s="235" t="n"/>
      <c r="B198" s="236" t="n"/>
      <c r="C198" s="236" t="n"/>
      <c r="D198" s="235" t="n"/>
      <c r="E198" s="236" t="n"/>
    </row>
    <row r="199">
      <c r="A199" s="233" t="inlineStr">
        <is>
          <t>inf Pinot Noir/чернослив</t>
        </is>
      </c>
      <c r="B199" s="144" t="inlineStr">
        <is>
          <t>вино Pinot Noir</t>
        </is>
      </c>
      <c r="C199" s="144" t="inlineStr">
        <is>
          <t>500 мл</t>
        </is>
      </c>
      <c r="D199" s="145" t="inlineStr">
        <is>
          <t>Смешать все ингридиенты в вакуумном пакете.</t>
        </is>
      </c>
      <c r="E199" s="144" t="inlineStr">
        <is>
          <t>500 мл</t>
        </is>
      </c>
    </row>
    <row r="200">
      <c r="A200" s="71" t="n"/>
      <c r="B200" s="144" t="inlineStr">
        <is>
          <t>чернослив</t>
        </is>
      </c>
      <c r="C200" s="144" t="inlineStr">
        <is>
          <t>100 грм</t>
        </is>
      </c>
      <c r="D200" s="145" t="inlineStr">
        <is>
          <t>Сувид 57 градусов/3 часа. Процедить.</t>
        </is>
      </c>
      <c r="E200" s="234" t="n"/>
    </row>
    <row r="201">
      <c r="A201" s="235" t="n"/>
      <c r="B201" s="236" t="n"/>
      <c r="C201" s="236" t="n"/>
      <c r="D201" s="235" t="n"/>
      <c r="E201" s="236" t="n"/>
    </row>
    <row r="202">
      <c r="A202" s="233" t="inlineStr">
        <is>
          <t>inf Rum ( fat wash )</t>
        </is>
      </c>
      <c r="B202" s="144" t="inlineStr">
        <is>
          <t>ром ( Okheart )</t>
        </is>
      </c>
      <c r="C202" s="144" t="inlineStr">
        <is>
          <t>300 мл</t>
        </is>
      </c>
      <c r="D202" s="145" t="inlineStr">
        <is>
          <t>Смешать все ингридиенты в вакуумном пакете, кроме кокосового масла.</t>
        </is>
      </c>
      <c r="E202" s="144" t="inlineStr">
        <is>
          <t>350 мл</t>
        </is>
      </c>
    </row>
    <row r="203">
      <c r="A203" s="71" t="n"/>
      <c r="B203" s="144" t="inlineStr">
        <is>
          <t>ликёр кокос ( Cartron в асс )</t>
        </is>
      </c>
      <c r="C203" s="144" t="inlineStr">
        <is>
          <t>100 мл</t>
        </is>
      </c>
      <c r="D203" s="145" t="inlineStr">
        <is>
          <t>Разогреть масло в сотейнике до образования пузырей.</t>
        </is>
      </c>
      <c r="E203" s="234" t="n"/>
    </row>
    <row r="204">
      <c r="A204" s="71" t="n"/>
      <c r="B204" s="144" t="inlineStr">
        <is>
          <t>сироп кокос ( Cartron в асс )</t>
        </is>
      </c>
      <c r="C204" s="144" t="inlineStr">
        <is>
          <t>50 мл</t>
        </is>
      </c>
      <c r="D204" s="145" t="inlineStr">
        <is>
          <t>Залить в вакуумный пакет к остальным ингридиентам.</t>
        </is>
      </c>
      <c r="E204" s="234" t="n"/>
    </row>
    <row r="205">
      <c r="A205" s="71" t="n"/>
      <c r="B205" s="144" t="inlineStr">
        <is>
          <t>кокосовое масло ( жидкое )</t>
        </is>
      </c>
      <c r="C205" s="144" t="inlineStr">
        <is>
          <t>150 мл</t>
        </is>
      </c>
      <c r="D205" s="145" t="inlineStr">
        <is>
          <t>Поместить в морозилку на 6 часов. Процедить</t>
        </is>
      </c>
      <c r="E205" s="234" t="n"/>
    </row>
    <row r="206">
      <c r="A206" s="238" t="n"/>
      <c r="B206" s="191" t="n"/>
      <c r="C206" s="191" t="n"/>
      <c r="D206" s="239" t="n"/>
      <c r="E206" s="191" t="n"/>
    </row>
    <row r="207">
      <c r="A207" s="133" t="inlineStr">
        <is>
          <t>Nezuka mix</t>
        </is>
      </c>
      <c r="B207" s="144" t="inlineStr">
        <is>
          <t>Sake/yuzu</t>
        </is>
      </c>
      <c r="C207" s="144" t="inlineStr">
        <is>
          <t>350 мл</t>
        </is>
      </c>
      <c r="D207" s="145" t="inlineStr">
        <is>
          <t>Смешать все ингридиенты в одну бутылку ( стекло ).</t>
        </is>
      </c>
      <c r="E207" s="144" t="inlineStr">
        <is>
          <t>750 мл</t>
        </is>
      </c>
    </row>
    <row r="208">
      <c r="A208" s="524" t="n"/>
      <c r="B208" s="144" t="inlineStr">
        <is>
          <t>Лимончелло</t>
        </is>
      </c>
      <c r="C208" s="144" t="inlineStr">
        <is>
          <t>150 мл</t>
        </is>
      </c>
      <c r="D208" s="524" t="n"/>
      <c r="E208" s="234" t="n"/>
    </row>
    <row r="209">
      <c r="A209" s="524" t="n"/>
      <c r="B209" s="144" t="inlineStr">
        <is>
          <t>Cartron pomme verte ( яблочный ликёр )</t>
        </is>
      </c>
      <c r="C209" s="144" t="inlineStr">
        <is>
          <t>75 мл</t>
        </is>
      </c>
      <c r="D209" s="524" t="n"/>
      <c r="E209" s="234" t="n"/>
    </row>
    <row r="210">
      <c r="A210" s="524" t="n"/>
      <c r="B210" s="144" t="inlineStr">
        <is>
          <t>мк</t>
        </is>
      </c>
      <c r="C210" s="144" t="inlineStr">
        <is>
          <t>75 мл</t>
        </is>
      </c>
      <c r="D210" s="524" t="n"/>
      <c r="E210" s="234" t="n"/>
    </row>
    <row r="211">
      <c r="A211" s="524" t="n"/>
      <c r="B211" s="144" t="inlineStr">
        <is>
          <t>сироп сахар</t>
        </is>
      </c>
      <c r="C211" s="144" t="inlineStr">
        <is>
          <t>75 мл</t>
        </is>
      </c>
      <c r="D211" s="524" t="n"/>
      <c r="E211" s="234" t="n"/>
    </row>
    <row r="212">
      <c r="A212" s="235" t="n"/>
      <c r="B212" s="240" t="n"/>
      <c r="C212" s="240" t="n"/>
      <c r="D212" s="235" t="n"/>
      <c r="E212" s="236" t="n"/>
    </row>
    <row r="213">
      <c r="A213" s="233" t="inlineStr">
        <is>
          <t>nitro TIKI mix</t>
        </is>
      </c>
      <c r="B213" s="144" t="inlineStr">
        <is>
          <t>ром Dead Man's Fingers ( banana )</t>
        </is>
      </c>
      <c r="C213" s="144" t="inlineStr">
        <is>
          <t>350 мл</t>
        </is>
      </c>
      <c r="D213" s="145" t="inlineStr">
        <is>
          <t>Закинуть все ингридиенты в сифон.</t>
        </is>
      </c>
      <c r="E213" s="144" t="inlineStr">
        <is>
          <t>400 мл</t>
        </is>
      </c>
    </row>
    <row r="214">
      <c r="A214" s="242" t="n"/>
      <c r="B214" s="144" t="inlineStr">
        <is>
          <t>ликёр Cherry Brandy ( Cartron в асс )</t>
        </is>
      </c>
      <c r="C214" s="144" t="inlineStr">
        <is>
          <t>100 мл</t>
        </is>
      </c>
      <c r="D214" s="145" t="inlineStr">
        <is>
          <t>Газировать  баллоном СО2</t>
        </is>
      </c>
      <c r="E214" s="243" t="n"/>
    </row>
    <row r="215">
      <c r="A215" s="242" t="n"/>
      <c r="B215" s="144" t="inlineStr">
        <is>
          <t>апперетив Sarti Rossa</t>
        </is>
      </c>
      <c r="C215" s="144" t="inlineStr">
        <is>
          <t>100 мл</t>
        </is>
      </c>
      <c r="D215" s="145" t="inlineStr">
        <is>
          <t>Поставить в холодильник на 1 час.</t>
        </is>
      </c>
      <c r="E215" s="243" t="n"/>
    </row>
    <row r="216">
      <c r="A216" s="242" t="n"/>
      <c r="B216" s="144" t="inlineStr">
        <is>
          <t>концентрат киви</t>
        </is>
      </c>
      <c r="C216" s="144" t="inlineStr">
        <is>
          <t>30 мл</t>
        </is>
      </c>
      <c r="D216" s="145" t="inlineStr">
        <is>
          <t>Спустить газ ( перевернуть сифон и нажать на ручку )</t>
        </is>
      </c>
      <c r="E216" s="243" t="n"/>
    </row>
    <row r="217">
      <c r="A217" s="242" t="n"/>
      <c r="B217" s="144" t="inlineStr">
        <is>
          <t>банан ( свежий )</t>
        </is>
      </c>
      <c r="C217" s="144" t="inlineStr">
        <is>
          <t>1 ( 300 грм ) шт</t>
        </is>
      </c>
      <c r="D217" s="145" t="inlineStr">
        <is>
          <t>Процедить жидкость ( в сифоне ).</t>
        </is>
      </c>
      <c r="E217" s="243" t="n"/>
    </row>
    <row r="218">
      <c r="A218" s="242" t="n"/>
      <c r="B218" s="144" t="inlineStr">
        <is>
          <t>киви ( свежий )</t>
        </is>
      </c>
      <c r="C218" s="144" t="inlineStr">
        <is>
          <t>1 ( 250 грм ) шт</t>
        </is>
      </c>
      <c r="D218" s="76" t="n"/>
      <c r="E218" s="243" t="n"/>
    </row>
    <row r="219">
      <c r="A219" s="205" t="inlineStr">
        <is>
          <t>Сordials</t>
        </is>
      </c>
      <c r="B219" s="206" t="inlineStr">
        <is>
          <t>Ингридиенты</t>
        </is>
      </c>
      <c r="C219" s="206" t="inlineStr">
        <is>
          <t>кол-во</t>
        </is>
      </c>
      <c r="D219" s="206" t="inlineStr">
        <is>
          <t>Способ</t>
        </is>
      </c>
      <c r="E219" s="206" t="inlineStr">
        <is>
          <t>Выход</t>
        </is>
      </c>
    </row>
    <row r="220">
      <c r="A220" s="233" t="inlineStr">
        <is>
          <t>cordial Blood oramge/b.pineapple</t>
        </is>
      </c>
      <c r="B220" s="144" t="inlineStr">
        <is>
          <t>ананас ( мякоть )</t>
        </is>
      </c>
      <c r="C220" s="144" t="inlineStr">
        <is>
          <t>200 грм</t>
        </is>
      </c>
      <c r="D220" s="145" t="inlineStr">
        <is>
          <t>Ананас нарезать кубиками, закинуть в сотейник, на медленном огне ( 800 ) парить</t>
        </is>
      </c>
      <c r="E220" s="144" t="inlineStr">
        <is>
          <t>500 мл</t>
        </is>
      </c>
    </row>
    <row r="221">
      <c r="A221" s="71" t="n"/>
      <c r="B221" s="144" t="inlineStr">
        <is>
          <t>сахар песок</t>
        </is>
      </c>
      <c r="C221" s="144" t="inlineStr">
        <is>
          <t>150 грм</t>
        </is>
      </c>
      <c r="D221" s="145" t="inlineStr">
        <is>
          <t xml:space="preserve">10 мин, перемешивая, затем добавить сахар песок, продолжать парить ананасы с </t>
        </is>
      </c>
      <c r="E221" s="234" t="n"/>
    </row>
    <row r="222">
      <c r="A222" s="71" t="n"/>
      <c r="B222" s="144" t="inlineStr">
        <is>
          <t xml:space="preserve">вода </t>
        </is>
      </c>
      <c r="C222" s="144" t="inlineStr">
        <is>
          <t>100 мл</t>
        </is>
      </c>
      <c r="D222" s="145" t="inlineStr">
        <is>
          <t xml:space="preserve">сахаром минут 5, затем влить сок красных апельсинов. Перемешивая довести до </t>
        </is>
      </c>
      <c r="E222" s="234" t="n"/>
    </row>
    <row r="223">
      <c r="A223" s="71" t="n"/>
      <c r="B223" s="144" t="inlineStr">
        <is>
          <t>сок Santal крсный апельсин</t>
        </is>
      </c>
      <c r="C223" s="144" t="inlineStr">
        <is>
          <t>500 мл</t>
        </is>
      </c>
      <c r="D223" s="145" t="inlineStr">
        <is>
          <t>кипения. Остудить ( натуральным путём ), процедить.</t>
        </is>
      </c>
      <c r="E223" s="234" t="n"/>
    </row>
    <row r="224">
      <c r="A224" s="71" t="n"/>
      <c r="B224" s="234" t="n"/>
      <c r="C224" s="234" t="n"/>
      <c r="D224" s="145" t="inlineStr">
        <is>
          <t>Смешать ингридиенты в сотейнике, довести до кипения. Процедить.</t>
        </is>
      </c>
      <c r="E224" s="234" t="n"/>
    </row>
    <row r="225">
      <c r="A225" s="235" t="n"/>
      <c r="B225" s="236" t="n"/>
      <c r="C225" s="236" t="n"/>
      <c r="D225" s="246" t="n"/>
      <c r="E225" s="236" t="n"/>
    </row>
    <row r="226">
      <c r="A226" s="233" t="inlineStr">
        <is>
          <t>cordial Вишня/пуэр</t>
        </is>
      </c>
      <c r="B226" s="144" t="inlineStr">
        <is>
          <t>Сок Rich вишня</t>
        </is>
      </c>
      <c r="C226" s="144" t="inlineStr">
        <is>
          <t>500 мл</t>
        </is>
      </c>
      <c r="D226" s="145" t="inlineStr">
        <is>
          <t>Остудить ( натуральным путём).</t>
        </is>
      </c>
      <c r="E226" s="144" t="inlineStr">
        <is>
          <t>750 мл</t>
        </is>
      </c>
    </row>
    <row r="227">
      <c r="A227" s="524" t="n"/>
      <c r="B227" s="144" t="inlineStr">
        <is>
          <t xml:space="preserve">вода </t>
        </is>
      </c>
      <c r="C227" s="144" t="inlineStr">
        <is>
          <t>300 мл</t>
        </is>
      </c>
      <c r="D227" s="524" t="n"/>
      <c r="E227" s="234" t="n"/>
    </row>
    <row r="228">
      <c r="A228" s="524" t="n"/>
      <c r="B228" s="144" t="inlineStr">
        <is>
          <t>сахар песок</t>
        </is>
      </c>
      <c r="C228" s="144" t="inlineStr">
        <is>
          <t>500 мл</t>
        </is>
      </c>
      <c r="D228" s="524" t="n"/>
      <c r="E228" s="234" t="n"/>
    </row>
    <row r="229">
      <c r="A229" s="524" t="n"/>
      <c r="B229" s="144" t="inlineStr">
        <is>
          <t>пуэр</t>
        </is>
      </c>
      <c r="C229" s="144" t="inlineStr">
        <is>
          <t>10 грм</t>
        </is>
      </c>
      <c r="D229" s="524" t="n"/>
      <c r="E229" s="234" t="n"/>
    </row>
    <row r="230">
      <c r="A230" s="524" t="n"/>
      <c r="B230" s="144" t="inlineStr">
        <is>
          <t>цедра лайма</t>
        </is>
      </c>
      <c r="C230" s="144" t="inlineStr">
        <is>
          <t>2 лайма</t>
        </is>
      </c>
      <c r="D230" s="524" t="n"/>
      <c r="E230" s="234" t="n"/>
    </row>
    <row r="231">
      <c r="A231" s="214" t="inlineStr">
        <is>
          <t>Other</t>
        </is>
      </c>
      <c r="B231" s="215" t="inlineStr">
        <is>
          <t>Ингридиенты</t>
        </is>
      </c>
      <c r="C231" s="215" t="inlineStr">
        <is>
          <t>кол-во</t>
        </is>
      </c>
      <c r="D231" s="215" t="inlineStr">
        <is>
          <t>Способ</t>
        </is>
      </c>
      <c r="E231" s="215" t="inlineStr">
        <is>
          <t>Выход</t>
        </is>
      </c>
    </row>
    <row r="232">
      <c r="A232" s="248" t="inlineStr">
        <is>
          <t>Мороженное на саб-зиро</t>
        </is>
      </c>
      <c r="B232" s="228" t="inlineStr">
        <is>
          <t>мороженное</t>
        </is>
      </c>
      <c r="C232" s="228" t="inlineStr">
        <is>
          <t>100 грм</t>
        </is>
      </c>
      <c r="D232" s="229" t="inlineStr">
        <is>
          <t>Растапливаем мороженное, до жидкого состояния, в большом питчере.</t>
        </is>
      </c>
      <c r="E232" s="228" t="inlineStr">
        <is>
          <t>10 форм</t>
        </is>
      </c>
    </row>
    <row r="233">
      <c r="A233" s="229" t="n"/>
      <c r="B233" s="228" t="inlineStr">
        <is>
          <t>сироп мята</t>
        </is>
      </c>
      <c r="C233" s="228" t="inlineStr">
        <is>
          <t>50 мл</t>
        </is>
      </c>
      <c r="D233" s="229" t="inlineStr">
        <is>
          <t>Добавляем сироп, добавляем сливки, добавляем агар-агар.</t>
        </is>
      </c>
      <c r="E233" s="228" t="n"/>
    </row>
    <row r="234">
      <c r="A234" s="229" t="n"/>
      <c r="B234" s="228" t="inlineStr">
        <is>
          <t>агар-агар</t>
        </is>
      </c>
      <c r="C234" s="228" t="inlineStr">
        <is>
          <t>1 грм</t>
        </is>
      </c>
      <c r="D234" s="229" t="inlineStr">
        <is>
          <t xml:space="preserve">Греем, при помощи стимера на кофемашине, что бы перемешать </t>
        </is>
      </c>
      <c r="E234" s="228" t="n"/>
    </row>
    <row r="235">
      <c r="A235" s="229" t="n"/>
      <c r="B235" s="228" t="inlineStr">
        <is>
          <t>сливки 11%</t>
        </is>
      </c>
      <c r="C235" s="228" t="inlineStr">
        <is>
          <t>30 мл</t>
        </is>
      </c>
      <c r="D235" s="229" t="inlineStr">
        <is>
          <t xml:space="preserve">агар-агар. Разливаем в силиконовые формы, ставим в шокер или </t>
        </is>
      </c>
      <c r="E235" s="228" t="n"/>
    </row>
    <row r="236">
      <c r="A236" s="229" t="n"/>
      <c r="B236" s="228" t="inlineStr">
        <is>
          <t>синий краситель</t>
        </is>
      </c>
      <c r="C236" s="228" t="inlineStr">
        <is>
          <t xml:space="preserve">что бы синее </t>
        </is>
      </c>
      <c r="D236" s="229" t="inlineStr">
        <is>
          <t>морозильник на 2 часа.</t>
        </is>
      </c>
      <c r="E236" s="228" t="n"/>
    </row>
    <row r="237">
      <c r="A237" s="229" t="n"/>
      <c r="B237" s="228" t="n"/>
      <c r="C237" s="228" t="inlineStr">
        <is>
          <t>было</t>
        </is>
      </c>
      <c r="D237" s="229" t="n"/>
      <c r="E237" s="228" t="n"/>
    </row>
    <row r="238">
      <c r="A238" s="249" t="n"/>
      <c r="B238" s="250" t="n"/>
      <c r="C238" s="250" t="n"/>
      <c r="D238" s="249" t="n"/>
      <c r="E238" s="250" t="n"/>
    </row>
    <row r="239">
      <c r="A239" s="133" t="inlineStr">
        <is>
          <t>Шитаки souce</t>
        </is>
      </c>
      <c r="B239" s="144" t="inlineStr">
        <is>
          <t>сливки петмол 33%</t>
        </is>
      </c>
      <c r="C239" s="144" t="inlineStr">
        <is>
          <t>1 л</t>
        </is>
      </c>
      <c r="D239" s="145" t="inlineStr">
        <is>
          <t>Сотейник, закидываем все ингридиенты ( кроме сиропа карамель ), варим, на</t>
        </is>
      </c>
      <c r="E239" s="144" t="inlineStr">
        <is>
          <t>1 л</t>
        </is>
      </c>
    </row>
    <row r="240">
      <c r="A240" s="524" t="n"/>
      <c r="B240" s="144" t="inlineStr">
        <is>
          <t>сливки петмол 11%</t>
        </is>
      </c>
      <c r="C240" s="144" t="inlineStr">
        <is>
          <t>150 мл</t>
        </is>
      </c>
      <c r="D240" s="145" t="inlineStr">
        <is>
          <t xml:space="preserve">медленном огне ( 1000 ), постоянно перемешивая. Как в самом соусе начнет </t>
        </is>
      </c>
      <c r="E240" s="234" t="n"/>
    </row>
    <row r="241">
      <c r="A241" s="524" t="n"/>
      <c r="B241" s="144" t="inlineStr">
        <is>
          <t xml:space="preserve">Шитаки грибы </t>
        </is>
      </c>
      <c r="C241" s="144" t="inlineStr">
        <is>
          <t>10 грм</t>
        </is>
      </c>
      <c r="D241" s="145" t="inlineStr">
        <is>
          <t>подниматься пена сбавляем огонь до ( 800 ), перемешиваем и как только пена</t>
        </is>
      </c>
      <c r="E241" s="234" t="n"/>
    </row>
    <row r="242">
      <c r="A242" s="524" t="n"/>
      <c r="B242" s="144" t="inlineStr">
        <is>
          <t>Цедра лайма</t>
        </is>
      </c>
      <c r="C242" s="144" t="inlineStr">
        <is>
          <t>5 грм</t>
        </is>
      </c>
      <c r="D242" s="145" t="inlineStr">
        <is>
          <t xml:space="preserve">начнет подниматься второй раз, выключаем плиту и перемешиваем, пока не уберем </t>
        </is>
      </c>
      <c r="E242" s="234" t="n"/>
    </row>
    <row r="243">
      <c r="A243" s="524" t="n"/>
      <c r="B243" s="144" t="inlineStr">
        <is>
          <t>Чай жасмин</t>
        </is>
      </c>
      <c r="C243" s="144" t="inlineStr">
        <is>
          <t>25 грм</t>
        </is>
      </c>
      <c r="D243" s="145" t="inlineStr">
        <is>
          <t>пену в сосусе. Дальше цедим соус с помощью сита ( без марли и прочих штук ). В</t>
        </is>
      </c>
      <c r="E243" s="234" t="n"/>
    </row>
    <row r="244">
      <c r="A244" s="524" t="n"/>
      <c r="B244" s="144" t="inlineStr">
        <is>
          <t>Сироп карамель</t>
        </is>
      </c>
      <c r="C244" s="144" t="inlineStr">
        <is>
          <t>150 грм</t>
        </is>
      </c>
      <c r="D244" s="145" t="inlineStr">
        <is>
          <t>процеженный соус добавляем сироп карамели в конце и даем остыть.</t>
        </is>
      </c>
      <c r="E244" s="234" t="n"/>
    </row>
    <row r="245">
      <c r="A245" s="524" t="n"/>
      <c r="B245" s="234" t="n"/>
      <c r="C245" s="234" t="n"/>
      <c r="D245" s="145" t="inlineStr">
        <is>
          <t>Грибы шитаки - закидываем в блендер и превращаем в порох ( в таком виде используем ).</t>
        </is>
      </c>
      <c r="E245" s="234" t="n"/>
    </row>
    <row r="246">
      <c r="A246" s="524" t="n"/>
      <c r="B246" s="234" t="n"/>
      <c r="C246" s="234" t="n"/>
      <c r="D246" s="145" t="inlineStr">
        <is>
          <t>Цедра лайма - 1 целый лайм, снимаем цедру на микроплане ( это тёрка такая ).</t>
        </is>
      </c>
      <c r="E246" s="234" t="n"/>
    </row>
    <row r="247">
      <c r="A247" s="524" t="n"/>
      <c r="B247" s="234" t="n"/>
      <c r="C247" s="234" t="n"/>
      <c r="D247" s="145" t="inlineStr">
        <is>
          <t>Чай жасмин - закидываем просто в сухом виже ( листья ).</t>
        </is>
      </c>
      <c r="E247" s="23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159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552" min="1" max="1"/>
    <col width="32.57" customWidth="1" style="552" min="2" max="2"/>
    <col width="21.86" customWidth="1" style="552" min="4" max="4"/>
    <col width="18" customWidth="1" style="552" min="5" max="5"/>
  </cols>
  <sheetData>
    <row r="1">
      <c r="A1" s="253" t="inlineStr">
        <is>
          <t>Название</t>
        </is>
      </c>
      <c r="B1" s="254" t="inlineStr">
        <is>
          <t>Ингридиенты</t>
        </is>
      </c>
      <c r="C1" s="254" t="inlineStr">
        <is>
          <t>кол-во</t>
        </is>
      </c>
      <c r="D1" s="254" t="inlineStr">
        <is>
          <t>Гарнир</t>
        </is>
      </c>
      <c r="E1" s="254" t="inlineStr">
        <is>
          <t>Посуда</t>
        </is>
      </c>
      <c r="F1" s="254" t="inlineStr">
        <is>
          <t>Лёд</t>
        </is>
      </c>
      <c r="G1" s="254" t="inlineStr">
        <is>
          <t>Метод</t>
        </is>
      </c>
    </row>
    <row r="2">
      <c r="A2" s="261" t="inlineStr">
        <is>
          <t>Сладкий Бубалех</t>
        </is>
      </c>
      <c r="B2" s="259" t="inlineStr">
        <is>
          <t>Rum/ananas</t>
        </is>
      </c>
      <c r="C2" s="257" t="inlineStr">
        <is>
          <t>60 мл</t>
        </is>
      </c>
      <c r="D2" s="257" t="inlineStr">
        <is>
          <t>Нити перца чили ( 5 грм )</t>
        </is>
      </c>
      <c r="E2" s="257" t="inlineStr">
        <is>
          <t>Хайбол</t>
        </is>
      </c>
      <c r="F2" s="257" t="inlineStr">
        <is>
          <t>глыба 4х12</t>
        </is>
      </c>
      <c r="G2" s="257" t="inlineStr">
        <is>
          <t>Стир</t>
        </is>
      </c>
    </row>
    <row r="3">
      <c r="A3" s="267" t="n"/>
      <c r="B3" s="259" t="inlineStr">
        <is>
          <t>Сироп Улун</t>
        </is>
      </c>
      <c r="C3" s="257" t="inlineStr">
        <is>
          <t>30 мл</t>
        </is>
      </c>
      <c r="D3" s="259" t="n"/>
      <c r="E3" s="259" t="n"/>
      <c r="F3" s="259" t="n"/>
      <c r="G3" s="259" t="n"/>
    </row>
    <row r="4">
      <c r="A4" s="267" t="n"/>
      <c r="B4" s="259" t="inlineStr">
        <is>
          <t>Молочная кислота</t>
        </is>
      </c>
      <c r="C4" s="257" t="inlineStr">
        <is>
          <t>15 мл</t>
        </is>
      </c>
      <c r="D4" s="259" t="n"/>
      <c r="E4" s="259" t="n"/>
      <c r="F4" s="259" t="n"/>
      <c r="G4" s="259" t="n"/>
    </row>
    <row r="5">
      <c r="A5" s="267" t="n"/>
      <c r="B5" s="259" t="inlineStr">
        <is>
          <t>Содовая Ledenev</t>
        </is>
      </c>
      <c r="C5" s="257" t="inlineStr">
        <is>
          <t>топ</t>
        </is>
      </c>
      <c r="D5" s="259" t="n"/>
      <c r="E5" s="259" t="n"/>
      <c r="F5" s="259" t="n"/>
      <c r="G5" s="259" t="n"/>
    </row>
    <row r="6">
      <c r="A6" s="253" t="inlineStr">
        <is>
          <t>Название</t>
        </is>
      </c>
      <c r="B6" s="254" t="inlineStr">
        <is>
          <t>Ингридиенты</t>
        </is>
      </c>
      <c r="C6" s="254" t="inlineStr">
        <is>
          <t>кол-во</t>
        </is>
      </c>
      <c r="D6" s="254" t="inlineStr">
        <is>
          <t>Гарнир</t>
        </is>
      </c>
      <c r="E6" s="254" t="inlineStr">
        <is>
          <t>Посуда</t>
        </is>
      </c>
      <c r="F6" s="254" t="inlineStr">
        <is>
          <t>Лёд</t>
        </is>
      </c>
      <c r="G6" s="254" t="inlineStr">
        <is>
          <t>Метод</t>
        </is>
      </c>
    </row>
    <row r="7">
      <c r="A7" s="260" t="n">
        <v>90210</v>
      </c>
      <c r="B7" s="259" t="inlineStr">
        <is>
          <t>Berkshire малина-ревень ( джин )</t>
        </is>
      </c>
      <c r="C7" s="257" t="inlineStr">
        <is>
          <t>50 мл</t>
        </is>
      </c>
      <c r="D7" s="257" t="inlineStr">
        <is>
          <t>Огуречный пил</t>
        </is>
      </c>
      <c r="E7" s="257" t="inlineStr">
        <is>
          <t>Хайбол</t>
        </is>
      </c>
      <c r="F7" s="257" t="inlineStr">
        <is>
          <t>Глыба 4х12</t>
        </is>
      </c>
      <c r="G7" s="257" t="inlineStr">
        <is>
          <t>Стир</t>
        </is>
      </c>
    </row>
    <row r="8">
      <c r="A8" s="267" t="n"/>
      <c r="B8" s="259" t="inlineStr">
        <is>
          <t>Bols lychee ( личи )</t>
        </is>
      </c>
      <c r="C8" s="257" t="inlineStr">
        <is>
          <t>10 мл</t>
        </is>
      </c>
      <c r="D8" s="257" t="inlineStr">
        <is>
          <t>с фигурными</t>
        </is>
      </c>
      <c r="E8" s="259" t="n"/>
      <c r="F8" s="259" t="n"/>
      <c r="G8" s="259" t="n"/>
    </row>
    <row r="9">
      <c r="A9" s="267" t="n"/>
      <c r="B9" s="259" t="inlineStr">
        <is>
          <t>Сироп огуречный</t>
        </is>
      </c>
      <c r="C9" s="257" t="inlineStr">
        <is>
          <t>25 мл</t>
        </is>
      </c>
      <c r="D9" s="257" t="inlineStr">
        <is>
          <t>дырами ( 20 грм )</t>
        </is>
      </c>
      <c r="E9" s="259" t="n"/>
      <c r="F9" s="259" t="n"/>
      <c r="G9" s="259" t="n"/>
    </row>
    <row r="10">
      <c r="A10" s="267" t="n"/>
      <c r="B10" s="259" t="inlineStr">
        <is>
          <t>Молочная кислота</t>
        </is>
      </c>
      <c r="C10" s="257" t="inlineStr">
        <is>
          <t>15 мл</t>
        </is>
      </c>
      <c r="D10" s="259" t="n"/>
      <c r="E10" s="259" t="n"/>
      <c r="F10" s="259" t="n"/>
      <c r="G10" s="259" t="n"/>
    </row>
    <row r="11">
      <c r="A11" s="253" t="inlineStr">
        <is>
          <t>Название</t>
        </is>
      </c>
      <c r="B11" s="254" t="inlineStr">
        <is>
          <t>Ингридиенты</t>
        </is>
      </c>
      <c r="C11" s="254" t="inlineStr">
        <is>
          <t>кол-во</t>
        </is>
      </c>
      <c r="D11" s="254" t="inlineStr">
        <is>
          <t>Гарнир</t>
        </is>
      </c>
      <c r="E11" s="254" t="inlineStr">
        <is>
          <t>Посуда</t>
        </is>
      </c>
      <c r="F11" s="254" t="inlineStr">
        <is>
          <t>Лёд</t>
        </is>
      </c>
      <c r="G11" s="254" t="inlineStr">
        <is>
          <t>Метод</t>
        </is>
      </c>
    </row>
    <row r="12">
      <c r="A12" s="261" t="inlineStr">
        <is>
          <t>Ультимейт Зевса</t>
        </is>
      </c>
      <c r="B12" s="259" t="inlineStr">
        <is>
          <t>Vodka/mango/lime ( водка )</t>
        </is>
      </c>
      <c r="C12" s="257" t="inlineStr">
        <is>
          <t>60 мл</t>
        </is>
      </c>
      <c r="D12" s="257" t="inlineStr">
        <is>
          <t>Молния из</t>
        </is>
      </c>
      <c r="E12" s="257" t="inlineStr">
        <is>
          <t>Хайбол</t>
        </is>
      </c>
      <c r="F12" s="257" t="inlineStr">
        <is>
          <t>Глыба 4х12</t>
        </is>
      </c>
      <c r="G12" s="257" t="inlineStr">
        <is>
          <t>Стир</t>
        </is>
      </c>
    </row>
    <row r="13">
      <c r="A13" s="267" t="n"/>
      <c r="B13" s="259" t="inlineStr">
        <is>
          <t>Сироп Жасмин - Шалфей</t>
        </is>
      </c>
      <c r="C13" s="257" t="inlineStr">
        <is>
          <t>25 мл</t>
        </is>
      </c>
      <c r="D13" s="257" t="inlineStr">
        <is>
          <t>мармелада ( 20 грм )</t>
        </is>
      </c>
      <c r="E13" s="259" t="n"/>
      <c r="F13" s="259" t="n"/>
      <c r="G13" s="259" t="n"/>
    </row>
    <row r="14">
      <c r="A14" s="267" t="n"/>
      <c r="B14" s="259" t="inlineStr">
        <is>
          <t>Молочная кислота</t>
        </is>
      </c>
      <c r="C14" s="257" t="inlineStr">
        <is>
          <t>15 мл</t>
        </is>
      </c>
      <c r="D14" s="259" t="n"/>
      <c r="E14" s="259" t="n"/>
      <c r="F14" s="259" t="n"/>
      <c r="G14" s="259" t="n"/>
    </row>
    <row r="15">
      <c r="A15" s="267" t="n"/>
      <c r="B15" s="259" t="inlineStr">
        <is>
          <t>Содовая Ledenev</t>
        </is>
      </c>
      <c r="C15" s="257" t="inlineStr">
        <is>
          <t>топ</t>
        </is>
      </c>
      <c r="D15" s="259" t="n"/>
      <c r="E15" s="259" t="n"/>
      <c r="F15" s="259" t="n"/>
      <c r="G15" s="259" t="n"/>
    </row>
    <row r="16">
      <c r="A16" s="253" t="inlineStr">
        <is>
          <t>Название</t>
        </is>
      </c>
      <c r="B16" s="254" t="inlineStr">
        <is>
          <t>Ингридиенты</t>
        </is>
      </c>
      <c r="C16" s="254" t="inlineStr">
        <is>
          <t>кол-во</t>
        </is>
      </c>
      <c r="D16" s="254" t="inlineStr">
        <is>
          <t>Гарнир</t>
        </is>
      </c>
      <c r="E16" s="254" t="inlineStr">
        <is>
          <t>Посуда</t>
        </is>
      </c>
      <c r="F16" s="254" t="inlineStr">
        <is>
          <t>Лёд</t>
        </is>
      </c>
      <c r="G16" s="254" t="inlineStr">
        <is>
          <t>Метод</t>
        </is>
      </c>
    </row>
    <row r="17">
      <c r="A17" s="262" t="inlineStr">
        <is>
          <t>Криптонит</t>
        </is>
      </c>
      <c r="B17" s="259" t="inlineStr">
        <is>
          <t>Vodka/mango/lime</t>
        </is>
      </c>
      <c r="C17" s="257" t="inlineStr">
        <is>
          <t>120 мл</t>
        </is>
      </c>
      <c r="D17" s="257" t="inlineStr">
        <is>
          <t>Инста подача</t>
        </is>
      </c>
      <c r="E17" s="257" t="inlineStr">
        <is>
          <t>сет шотов или рокс</t>
        </is>
      </c>
      <c r="F17" s="257" t="inlineStr">
        <is>
          <t>Замороженные шоты</t>
        </is>
      </c>
      <c r="G17" s="257" t="inlineStr">
        <is>
          <t>Стир</t>
        </is>
      </c>
    </row>
    <row r="18">
      <c r="A18" s="267" t="n"/>
      <c r="B18" s="309" t="inlineStr">
        <is>
          <t>Bosford ( джин )</t>
        </is>
      </c>
      <c r="C18" s="257" t="inlineStr">
        <is>
          <t>160 мл</t>
        </is>
      </c>
      <c r="D18" s="257" t="inlineStr">
        <is>
          <t>Печеный бейби картофель</t>
        </is>
      </c>
      <c r="E18" s="259" t="n"/>
      <c r="F18" s="257" t="inlineStr">
        <is>
          <t>глыба 5х6</t>
        </is>
      </c>
      <c r="G18" s="259" t="n"/>
    </row>
    <row r="19">
      <c r="A19" s="267" t="n"/>
      <c r="B19" s="259" t="inlineStr">
        <is>
          <t>Сироп гренадин ( пф )</t>
        </is>
      </c>
      <c r="C19" s="257" t="inlineStr">
        <is>
          <t>100 мл</t>
        </is>
      </c>
      <c r="D19" s="259" t="inlineStr">
        <is>
          <t>гламурная девочка пай</t>
        </is>
      </c>
      <c r="E19" s="259" t="n"/>
      <c r="F19" s="259" t="n"/>
      <c r="G19" s="259" t="n"/>
    </row>
    <row r="20">
      <c r="A20" s="267" t="n"/>
      <c r="B20" s="259" t="inlineStr">
        <is>
          <t>Молочная кислота</t>
        </is>
      </c>
      <c r="C20" s="257" t="inlineStr">
        <is>
          <t>80 мл</t>
        </is>
      </c>
      <c r="D20" s="259" t="n"/>
      <c r="E20" s="259" t="n"/>
      <c r="F20" s="259" t="n"/>
      <c r="G20" s="259" t="n"/>
    </row>
    <row r="21">
      <c r="A21" s="253" t="inlineStr">
        <is>
          <t>Название</t>
        </is>
      </c>
      <c r="B21" s="254" t="inlineStr">
        <is>
          <t>Ингридиенты</t>
        </is>
      </c>
      <c r="C21" s="254" t="inlineStr">
        <is>
          <t>кол-во</t>
        </is>
      </c>
      <c r="D21" s="254" t="inlineStr">
        <is>
          <t>Гарнир</t>
        </is>
      </c>
      <c r="E21" s="254" t="inlineStr">
        <is>
          <t>Посуда</t>
        </is>
      </c>
      <c r="F21" s="254" t="inlineStr">
        <is>
          <t>Лёд</t>
        </is>
      </c>
      <c r="G21" s="254" t="inlineStr">
        <is>
          <t>Метод</t>
        </is>
      </c>
    </row>
    <row r="22">
      <c r="A22" s="259" t="inlineStr">
        <is>
          <t xml:space="preserve">Mortal Kombat shots </t>
        </is>
      </c>
      <c r="B22" s="259" t="inlineStr">
        <is>
          <t>Cherry/Bourbon</t>
        </is>
      </c>
      <c r="C22" s="257" t="inlineStr">
        <is>
          <t>200 мл</t>
        </is>
      </c>
      <c r="D22" s="257" t="inlineStr">
        <is>
          <t>Кастомный поднос</t>
        </is>
      </c>
      <c r="E22" s="257" t="inlineStr">
        <is>
          <t>Шоты</t>
        </is>
      </c>
      <c r="F22" s="257" t="inlineStr">
        <is>
          <t>сухой</t>
        </is>
      </c>
      <c r="G22" s="257" t="inlineStr">
        <is>
          <t>стир</t>
        </is>
      </c>
    </row>
    <row r="23">
      <c r="A23" s="267" t="n"/>
      <c r="B23" s="259" t="inlineStr">
        <is>
          <t>Martini fiero</t>
        </is>
      </c>
      <c r="C23" s="257" t="inlineStr">
        <is>
          <t>100 мл</t>
        </is>
      </c>
      <c r="D23" s="259" t="n"/>
      <c r="E23" s="259" t="n"/>
      <c r="F23" s="259" t="n"/>
      <c r="G23" s="259" t="n"/>
    </row>
    <row r="24">
      <c r="A24" s="267" t="n"/>
      <c r="B24" s="259" t="inlineStr">
        <is>
          <t>Clavis ваниль/лимонный тарт/сенча</t>
        </is>
      </c>
      <c r="C24" s="257" t="inlineStr">
        <is>
          <t>150 мл</t>
        </is>
      </c>
      <c r="D24" s="259" t="n"/>
      <c r="E24" s="259" t="n"/>
      <c r="F24" s="259" t="n"/>
      <c r="G24" s="259" t="n"/>
    </row>
    <row r="25">
      <c r="A25" s="267" t="n"/>
      <c r="B25" s="259" t="inlineStr">
        <is>
          <t>Сироп сахар</t>
        </is>
      </c>
      <c r="C25" s="257" t="inlineStr">
        <is>
          <t>25 мл</t>
        </is>
      </c>
      <c r="D25" s="259" t="n"/>
      <c r="E25" s="259" t="n"/>
      <c r="F25" s="259" t="n"/>
      <c r="G25" s="259" t="n"/>
    </row>
    <row r="26">
      <c r="A26" s="267" t="n"/>
      <c r="B26" s="259" t="inlineStr">
        <is>
          <t>Молочная кислота ( заготовка )</t>
        </is>
      </c>
      <c r="C26" s="257" t="inlineStr">
        <is>
          <t>25 мл</t>
        </is>
      </c>
      <c r="D26" s="259" t="n"/>
      <c r="E26" s="259" t="n"/>
      <c r="F26" s="259" t="n"/>
      <c r="G26" s="259" t="n"/>
    </row>
    <row r="27">
      <c r="A27" s="267" t="n"/>
      <c r="B27" s="259" t="inlineStr">
        <is>
          <t>Содовая Ledenev</t>
        </is>
      </c>
      <c r="C27" s="257" t="inlineStr">
        <is>
          <t>60 мл</t>
        </is>
      </c>
      <c r="D27" s="259" t="n"/>
      <c r="E27" s="259" t="n"/>
      <c r="F27" s="259" t="n"/>
      <c r="G27" s="259" t="n"/>
    </row>
    <row r="28">
      <c r="A28" s="253" t="inlineStr">
        <is>
          <t>Название</t>
        </is>
      </c>
      <c r="B28" s="254" t="inlineStr">
        <is>
          <t>Ингридиенты</t>
        </is>
      </c>
      <c r="C28" s="254" t="inlineStr">
        <is>
          <t>кол-во</t>
        </is>
      </c>
      <c r="D28" s="254" t="inlineStr">
        <is>
          <t>Гарнир</t>
        </is>
      </c>
      <c r="E28" s="254" t="inlineStr">
        <is>
          <t>Посуда</t>
        </is>
      </c>
      <c r="F28" s="254" t="inlineStr">
        <is>
          <t>Лёд</t>
        </is>
      </c>
      <c r="G28" s="254" t="inlineStr">
        <is>
          <t>Метод</t>
        </is>
      </c>
    </row>
    <row r="29">
      <c r="A29" s="261" t="inlineStr">
        <is>
          <t>Нечаев</t>
        </is>
      </c>
      <c r="B29" s="259" t="inlineStr">
        <is>
          <t>Berkshire raspberry/rhubarb ( джин )</t>
        </is>
      </c>
      <c r="C29" s="257" t="inlineStr">
        <is>
          <t>45 мл</t>
        </is>
      </c>
      <c r="D29" s="257" t="inlineStr">
        <is>
          <t>Подстаканник стим/панк</t>
        </is>
      </c>
      <c r="E29" s="257" t="inlineStr">
        <is>
          <t>Граненный стакан 0,25</t>
        </is>
      </c>
      <c r="F29" s="257" t="inlineStr">
        <is>
          <t>колотая глыба</t>
        </is>
      </c>
      <c r="G29" s="257" t="inlineStr">
        <is>
          <t>стир</t>
        </is>
      </c>
    </row>
    <row r="30">
      <c r="A30" s="267" t="n"/>
      <c r="B30" s="259" t="inlineStr">
        <is>
          <t>Bols pepper mint ( ликёр мята )</t>
        </is>
      </c>
      <c r="C30" s="257" t="inlineStr">
        <is>
          <t>10 мл</t>
        </is>
      </c>
      <c r="D30" s="259" t="n"/>
      <c r="E30" s="259" t="n"/>
      <c r="F30" s="259" t="n"/>
      <c r="G30" s="259" t="n"/>
    </row>
    <row r="31">
      <c r="A31" s="267" t="n"/>
      <c r="B31" s="259" t="inlineStr">
        <is>
          <t>Молочная кислота</t>
        </is>
      </c>
      <c r="C31" s="257" t="inlineStr">
        <is>
          <t>15 мл</t>
        </is>
      </c>
      <c r="D31" s="259" t="n"/>
      <c r="E31" s="259" t="n"/>
      <c r="F31" s="259" t="n"/>
      <c r="G31" s="259" t="n"/>
    </row>
    <row r="32">
      <c r="A32" s="267" t="n"/>
      <c r="B32" s="259" t="inlineStr">
        <is>
          <t>Сироп шалфей/жасмин</t>
        </is>
      </c>
      <c r="C32" s="257" t="inlineStr">
        <is>
          <t>15 мл</t>
        </is>
      </c>
      <c r="D32" s="259" t="n"/>
      <c r="E32" s="259" t="n"/>
      <c r="F32" s="259" t="n"/>
      <c r="G32" s="259" t="n"/>
    </row>
    <row r="33">
      <c r="A33" s="267" t="n"/>
      <c r="B33" s="259" t="inlineStr">
        <is>
          <t>Rich tonic 0,33</t>
        </is>
      </c>
      <c r="C33" s="257" t="inlineStr">
        <is>
          <t>1 шт</t>
        </is>
      </c>
      <c r="D33" s="259" t="n"/>
      <c r="E33" s="259" t="n"/>
      <c r="F33" s="259" t="n"/>
      <c r="G33" s="259" t="n"/>
    </row>
    <row r="34">
      <c r="A34" s="253" t="inlineStr">
        <is>
          <t>Название</t>
        </is>
      </c>
      <c r="B34" s="254" t="inlineStr">
        <is>
          <t>Ингридиенты</t>
        </is>
      </c>
      <c r="C34" s="254" t="inlineStr">
        <is>
          <t>кол-во</t>
        </is>
      </c>
      <c r="D34" s="254" t="inlineStr">
        <is>
          <t>Гарнир</t>
        </is>
      </c>
      <c r="E34" s="254" t="inlineStr">
        <is>
          <t>Посуда</t>
        </is>
      </c>
      <c r="F34" s="254" t="inlineStr">
        <is>
          <t>Лёд</t>
        </is>
      </c>
      <c r="G34" s="254" t="inlineStr">
        <is>
          <t>Метод</t>
        </is>
      </c>
    </row>
    <row r="35">
      <c r="A35" s="267" t="inlineStr">
        <is>
          <t>Моджо</t>
        </is>
      </c>
      <c r="B35" s="259" t="inlineStr">
        <is>
          <t>MP Austin Powers</t>
        </is>
      </c>
      <c r="C35" s="257" t="inlineStr">
        <is>
          <t>130 мл</t>
        </is>
      </c>
      <c r="D35" s="264" t="inlineStr">
        <is>
          <t>посыпка из пудры</t>
        </is>
      </c>
      <c r="E35" s="264" t="inlineStr">
        <is>
          <t>рокс</t>
        </is>
      </c>
      <c r="F35" s="259" t="n"/>
      <c r="G35" s="257" t="inlineStr">
        <is>
          <t>стир/топ</t>
        </is>
      </c>
    </row>
    <row r="36">
      <c r="A36" s="267" t="n"/>
      <c r="B36" s="259" t="inlineStr">
        <is>
          <t>Сироп ваниль</t>
        </is>
      </c>
      <c r="C36" s="257" t="inlineStr">
        <is>
          <t>10 мл</t>
        </is>
      </c>
      <c r="D36" s="265" t="n"/>
      <c r="E36" s="265" t="n"/>
      <c r="F36" s="259" t="n"/>
      <c r="G36" s="259" t="n"/>
    </row>
    <row r="37">
      <c r="A37" s="267" t="n"/>
      <c r="B37" s="259" t="inlineStr">
        <is>
          <t>Молочная кислота</t>
        </is>
      </c>
      <c r="C37" s="257" t="inlineStr">
        <is>
          <t>15 мл</t>
        </is>
      </c>
      <c r="D37" s="265" t="n"/>
      <c r="E37" s="265" t="n"/>
      <c r="F37" s="259" t="n"/>
      <c r="G37" s="259" t="n"/>
    </row>
    <row r="38">
      <c r="A38" s="267" t="n"/>
      <c r="B38" s="259" t="inlineStr">
        <is>
          <t>Пена</t>
        </is>
      </c>
      <c r="C38" s="257" t="inlineStr">
        <is>
          <t>топ ( 150 грм )</t>
        </is>
      </c>
      <c r="D38" s="265" t="n"/>
      <c r="E38" s="265" t="n"/>
      <c r="F38" s="259" t="n"/>
      <c r="G38" s="259" t="n"/>
    </row>
    <row r="39">
      <c r="A39" s="253" t="inlineStr">
        <is>
          <t>Название</t>
        </is>
      </c>
      <c r="B39" s="254" t="inlineStr">
        <is>
          <t>Ингридиенты</t>
        </is>
      </c>
      <c r="C39" s="254" t="inlineStr">
        <is>
          <t>кол-во</t>
        </is>
      </c>
      <c r="D39" s="254" t="inlineStr">
        <is>
          <t>Гарнир</t>
        </is>
      </c>
      <c r="E39" s="254" t="inlineStr">
        <is>
          <t>Посуда</t>
        </is>
      </c>
      <c r="F39" s="254" t="inlineStr">
        <is>
          <t>Лёд</t>
        </is>
      </c>
      <c r="G39" s="254" t="inlineStr">
        <is>
          <t>Метод</t>
        </is>
      </c>
    </row>
    <row r="40">
      <c r="A40" s="267" t="inlineStr">
        <is>
          <t>Тёмный рыцарь</t>
        </is>
      </c>
      <c r="B40" s="259" t="inlineStr">
        <is>
          <t>Bourbon/candy</t>
        </is>
      </c>
      <c r="C40" s="257" t="inlineStr">
        <is>
          <t>50 мл</t>
        </is>
      </c>
      <c r="D40" s="264" t="inlineStr">
        <is>
          <t>марка/лого бэтмен</t>
        </is>
      </c>
      <c r="E40" s="264" t="inlineStr">
        <is>
          <t>рокс</t>
        </is>
      </c>
      <c r="F40" s="257" t="inlineStr">
        <is>
          <t>глыбв 5х6</t>
        </is>
      </c>
      <c r="G40" s="257" t="inlineStr">
        <is>
          <t>шейк/драй шейк</t>
        </is>
      </c>
    </row>
    <row r="41">
      <c r="A41" s="267" t="n"/>
      <c r="B41" s="259" t="inlineStr">
        <is>
          <t>Cartron Violet ( ликёр фиалка )</t>
        </is>
      </c>
      <c r="C41" s="257" t="inlineStr">
        <is>
          <t>10 мл</t>
        </is>
      </c>
      <c r="D41" s="265" t="n"/>
      <c r="E41" s="265" t="n"/>
      <c r="F41" s="259" t="n"/>
      <c r="G41" s="259" t="n"/>
    </row>
    <row r="42">
      <c r="A42" s="267" t="n"/>
      <c r="B42" s="259" t="inlineStr">
        <is>
          <t>Cointreau ( апельсиновый ликёр )</t>
        </is>
      </c>
      <c r="C42" s="257" t="inlineStr">
        <is>
          <t>10 мл</t>
        </is>
      </c>
      <c r="D42" s="265" t="n"/>
      <c r="E42" s="265" t="n"/>
      <c r="F42" s="259" t="n"/>
      <c r="G42" s="259" t="n"/>
    </row>
    <row r="43">
      <c r="A43" s="267" t="n"/>
      <c r="B43" s="259" t="inlineStr">
        <is>
          <t>Cartron pomme verte ( яблочный ликёр )</t>
        </is>
      </c>
      <c r="C43" s="257" t="inlineStr">
        <is>
          <t>10 мл</t>
        </is>
      </c>
      <c r="D43" s="265" t="n"/>
      <c r="E43" s="265" t="n"/>
      <c r="F43" s="259" t="n"/>
      <c r="G43" s="259" t="n"/>
    </row>
    <row r="44">
      <c r="A44" s="267" t="n"/>
      <c r="B44" s="259" t="inlineStr">
        <is>
          <t>Сироп сахар</t>
        </is>
      </c>
      <c r="C44" s="257" t="inlineStr">
        <is>
          <t>20 мл</t>
        </is>
      </c>
      <c r="D44" s="265" t="n"/>
      <c r="E44" s="265" t="n"/>
      <c r="F44" s="259" t="n"/>
      <c r="G44" s="259" t="n"/>
    </row>
    <row r="45">
      <c r="A45" s="267" t="n"/>
      <c r="B45" s="259" t="inlineStr">
        <is>
          <t>Фреши лимон</t>
        </is>
      </c>
      <c r="C45" s="257" t="inlineStr">
        <is>
          <t>25 мл</t>
        </is>
      </c>
      <c r="D45" s="265" t="n"/>
      <c r="E45" s="265" t="n"/>
      <c r="F45" s="259" t="n"/>
      <c r="G45" s="259" t="n"/>
    </row>
    <row r="46">
      <c r="A46" s="267" t="n"/>
      <c r="B46" s="259" t="inlineStr">
        <is>
          <t>Баблдроп</t>
        </is>
      </c>
      <c r="C46" s="257" t="inlineStr">
        <is>
          <t>3 дропс</t>
        </is>
      </c>
      <c r="D46" s="265" t="n"/>
      <c r="E46" s="265" t="n"/>
      <c r="F46" s="259" t="n"/>
      <c r="G46" s="259" t="n"/>
    </row>
    <row r="47">
      <c r="A47" s="253" t="inlineStr">
        <is>
          <t>Название</t>
        </is>
      </c>
      <c r="B47" s="254" t="inlineStr">
        <is>
          <t>Ингридиенты</t>
        </is>
      </c>
      <c r="C47" s="254" t="inlineStr">
        <is>
          <t>кол-во</t>
        </is>
      </c>
      <c r="D47" s="254" t="inlineStr">
        <is>
          <t>Гарнир</t>
        </is>
      </c>
      <c r="E47" s="254" t="inlineStr">
        <is>
          <t>Посуда</t>
        </is>
      </c>
      <c r="F47" s="254" t="inlineStr">
        <is>
          <t>Лёд</t>
        </is>
      </c>
      <c r="G47" s="254" t="inlineStr">
        <is>
          <t>Метод</t>
        </is>
      </c>
    </row>
    <row r="48">
      <c r="A48" s="267" t="inlineStr">
        <is>
          <t>Sprunk</t>
        </is>
      </c>
      <c r="B48" s="259" t="inlineStr">
        <is>
          <t>Vodka/mango/lime</t>
        </is>
      </c>
      <c r="C48" s="257" t="inlineStr">
        <is>
          <t>50 мл</t>
        </is>
      </c>
      <c r="D48" s="264" t="inlineStr">
        <is>
          <t>наклейка на бокал Sprunk</t>
        </is>
      </c>
      <c r="E48" s="264" t="inlineStr">
        <is>
          <t>Хайбол ( банка )</t>
        </is>
      </c>
      <c r="F48" s="257" t="inlineStr">
        <is>
          <t>кусок</t>
        </is>
      </c>
      <c r="G48" s="257" t="inlineStr">
        <is>
          <t>билд</t>
        </is>
      </c>
    </row>
    <row r="49">
      <c r="A49" s="267" t="n"/>
      <c r="B49" s="259" t="inlineStr">
        <is>
          <t>кордиал Sprunk</t>
        </is>
      </c>
      <c r="C49" s="257" t="inlineStr">
        <is>
          <t>40 мл</t>
        </is>
      </c>
      <c r="D49" s="265" t="n"/>
      <c r="E49" s="265" t="n"/>
      <c r="F49" s="259" t="n"/>
      <c r="G49" s="259" t="n"/>
    </row>
    <row r="50">
      <c r="A50" s="267" t="n"/>
      <c r="B50" s="259" t="inlineStr">
        <is>
          <t>Clavis роза/ревень/грейпфрут</t>
        </is>
      </c>
      <c r="C50" s="257" t="inlineStr">
        <is>
          <t>40 мл</t>
        </is>
      </c>
      <c r="D50" s="265" t="n"/>
      <c r="E50" s="265" t="n"/>
      <c r="F50" s="259" t="n"/>
      <c r="G50" s="259" t="n"/>
    </row>
    <row r="51">
      <c r="A51" s="267" t="n"/>
      <c r="B51" s="259" t="inlineStr">
        <is>
          <t>Содовая Ledenev</t>
        </is>
      </c>
      <c r="C51" s="257" t="inlineStr">
        <is>
          <t>60 мл ( топ )</t>
        </is>
      </c>
      <c r="D51" s="265" t="n"/>
      <c r="E51" s="265" t="n"/>
      <c r="F51" s="259" t="n"/>
      <c r="G51" s="259" t="n"/>
    </row>
    <row r="52">
      <c r="A52" s="253" t="inlineStr">
        <is>
          <t>Название</t>
        </is>
      </c>
      <c r="B52" s="254" t="inlineStr">
        <is>
          <t>Ингридиенты</t>
        </is>
      </c>
      <c r="C52" s="254" t="inlineStr">
        <is>
          <t>кол-во</t>
        </is>
      </c>
      <c r="D52" s="254" t="inlineStr">
        <is>
          <t>Гарнир</t>
        </is>
      </c>
      <c r="E52" s="254" t="inlineStr">
        <is>
          <t>Посуда</t>
        </is>
      </c>
      <c r="F52" s="254" t="inlineStr">
        <is>
          <t>Лёд</t>
        </is>
      </c>
      <c r="G52" s="254" t="inlineStr">
        <is>
          <t>Метод</t>
        </is>
      </c>
    </row>
    <row r="53">
      <c r="A53" s="267" t="inlineStr">
        <is>
          <t>Sprunk б/а</t>
        </is>
      </c>
      <c r="B53" s="259" t="inlineStr">
        <is>
          <t>кордиал Sprunk</t>
        </is>
      </c>
      <c r="C53" s="257" t="inlineStr">
        <is>
          <t>45 мл</t>
        </is>
      </c>
      <c r="D53" s="264" t="inlineStr">
        <is>
          <t>наклейка на бокал Sprunk</t>
        </is>
      </c>
      <c r="E53" s="264" t="inlineStr">
        <is>
          <t>Хайбол ( банка )</t>
        </is>
      </c>
      <c r="F53" s="257" t="inlineStr">
        <is>
          <t>кусок</t>
        </is>
      </c>
      <c r="G53" s="257" t="inlineStr">
        <is>
          <t>билд</t>
        </is>
      </c>
    </row>
    <row r="54">
      <c r="A54" s="267" t="n"/>
      <c r="B54" s="259" t="inlineStr">
        <is>
          <t>Clavis роза/ревень/грейпфрут</t>
        </is>
      </c>
      <c r="C54" s="257" t="inlineStr">
        <is>
          <t>45 мл</t>
        </is>
      </c>
      <c r="D54" s="265" t="n"/>
      <c r="E54" s="265" t="n"/>
      <c r="F54" s="259" t="n"/>
      <c r="G54" s="259" t="n"/>
    </row>
    <row r="55">
      <c r="A55" s="267" t="n"/>
      <c r="B55" s="259" t="inlineStr">
        <is>
          <t>Содовая Ledenev</t>
        </is>
      </c>
      <c r="C55" s="257" t="inlineStr">
        <is>
          <t>100 мл ( топ )</t>
        </is>
      </c>
      <c r="D55" s="265" t="n"/>
      <c r="E55" s="265" t="n"/>
      <c r="F55" s="259" t="n"/>
      <c r="G55" s="259" t="n"/>
    </row>
    <row r="56">
      <c r="A56" s="269" t="inlineStr">
        <is>
          <t>Название</t>
        </is>
      </c>
      <c r="B56" s="269" t="inlineStr">
        <is>
          <t>Ингридиенты</t>
        </is>
      </c>
      <c r="C56" s="269" t="inlineStr">
        <is>
          <t>кол-во</t>
        </is>
      </c>
      <c r="D56" s="269" t="inlineStr">
        <is>
          <t>Гарнир</t>
        </is>
      </c>
      <c r="E56" s="269" t="inlineStr">
        <is>
          <t>Посуда</t>
        </is>
      </c>
      <c r="F56" s="269" t="inlineStr">
        <is>
          <t>Лёд</t>
        </is>
      </c>
      <c r="G56" s="269" t="inlineStr">
        <is>
          <t>Метод</t>
        </is>
      </c>
    </row>
    <row r="57">
      <c r="A57" s="272" t="inlineStr">
        <is>
          <t>Дэдпул</t>
        </is>
      </c>
      <c r="B57" s="259" t="inlineStr">
        <is>
          <t>Tundra ( водка )</t>
        </is>
      </c>
      <c r="C57" s="273" t="inlineStr">
        <is>
          <t>60 мл</t>
        </is>
      </c>
      <c r="D57" s="273" t="inlineStr">
        <is>
          <t>маршмеллоу</t>
        </is>
      </c>
      <c r="E57" s="273" t="inlineStr">
        <is>
          <t>тики бокал</t>
        </is>
      </c>
      <c r="F57" s="273" t="inlineStr">
        <is>
          <t>кусок</t>
        </is>
      </c>
      <c r="G57" s="273" t="inlineStr">
        <is>
          <t>шейк</t>
        </is>
      </c>
    </row>
    <row r="58">
      <c r="A58" s="272" t="n"/>
      <c r="B58" s="272" t="inlineStr">
        <is>
          <t>Bols Natural Yoghurt ( ликёр йогурт )</t>
        </is>
      </c>
      <c r="C58" s="273" t="inlineStr">
        <is>
          <t>20 мл</t>
        </is>
      </c>
      <c r="D58" s="273" t="inlineStr">
        <is>
          <t>желе единорог</t>
        </is>
      </c>
      <c r="E58" s="273" t="inlineStr">
        <is>
          <t>deadpool</t>
        </is>
      </c>
      <c r="F58" s="273" t="n"/>
      <c r="G58" s="273" t="n"/>
    </row>
    <row r="59">
      <c r="A59" s="272" t="n"/>
      <c r="B59" s="272" t="inlineStr">
        <is>
          <t>Сироп клюква</t>
        </is>
      </c>
      <c r="C59" s="273" t="inlineStr">
        <is>
          <t>40 мл</t>
        </is>
      </c>
      <c r="D59" s="273" t="n"/>
      <c r="E59" s="273" t="n"/>
      <c r="F59" s="273" t="n"/>
      <c r="G59" s="273" t="n"/>
    </row>
    <row r="60">
      <c r="A60" s="272" t="n"/>
      <c r="B60" s="72" t="inlineStr">
        <is>
          <t>Фреш лимон</t>
        </is>
      </c>
      <c r="C60" s="283" t="inlineStr">
        <is>
          <t>30 мл</t>
        </is>
      </c>
      <c r="D60" s="273" t="n"/>
      <c r="E60" s="273" t="n"/>
      <c r="F60" s="273" t="n"/>
      <c r="G60" s="273" t="n"/>
    </row>
    <row r="61">
      <c r="A61" s="272" t="n"/>
      <c r="B61" s="272" t="inlineStr">
        <is>
          <t>Пюре ананас</t>
        </is>
      </c>
      <c r="C61" s="273" t="inlineStr">
        <is>
          <t>60 мл</t>
        </is>
      </c>
      <c r="D61" s="273" t="n"/>
      <c r="E61" s="273" t="n"/>
      <c r="F61" s="273" t="n"/>
      <c r="G61" s="273" t="n"/>
    </row>
    <row r="62">
      <c r="A62" s="269" t="inlineStr">
        <is>
          <t>Название</t>
        </is>
      </c>
      <c r="B62" s="269" t="inlineStr">
        <is>
          <t>Ингридиенты</t>
        </is>
      </c>
      <c r="C62" s="269" t="inlineStr">
        <is>
          <t>кол-во</t>
        </is>
      </c>
      <c r="D62" s="269" t="inlineStr">
        <is>
          <t>Гарнир</t>
        </is>
      </c>
      <c r="E62" s="269" t="inlineStr">
        <is>
          <t>Посуда</t>
        </is>
      </c>
      <c r="F62" s="269" t="inlineStr">
        <is>
          <t>Лёд</t>
        </is>
      </c>
      <c r="G62" s="269" t="inlineStr">
        <is>
          <t>Метод</t>
        </is>
      </c>
    </row>
    <row r="63">
      <c r="A63" s="272" t="inlineStr">
        <is>
          <t>Незуко</t>
        </is>
      </c>
      <c r="B63" s="279" t="inlineStr">
        <is>
          <t>Sake/yuzu</t>
        </is>
      </c>
      <c r="C63" s="278" t="inlineStr">
        <is>
          <t>70 мл</t>
        </is>
      </c>
      <c r="D63" s="278" t="inlineStr">
        <is>
          <t>кастомная шкатулка</t>
        </is>
      </c>
      <c r="E63" s="278" t="inlineStr">
        <is>
          <t>хайбол/бамбук</t>
        </is>
      </c>
      <c r="F63" s="273" t="inlineStr">
        <is>
          <t>глыба 4х12</t>
        </is>
      </c>
      <c r="G63" s="273" t="inlineStr">
        <is>
          <t>стир</t>
        </is>
      </c>
    </row>
    <row r="64">
      <c r="A64" s="272" t="n"/>
      <c r="B64" s="279" t="inlineStr">
        <is>
          <t>Ликер "Лимончелло Маркати"</t>
        </is>
      </c>
      <c r="C64" s="278" t="inlineStr">
        <is>
          <t>30 мл</t>
        </is>
      </c>
      <c r="D64" s="278" t="n"/>
      <c r="E64" s="278" t="n"/>
      <c r="F64" s="273" t="n"/>
      <c r="G64" s="273" t="n"/>
    </row>
    <row r="65">
      <c r="A65" s="272" t="n"/>
      <c r="B65" s="259" t="inlineStr">
        <is>
          <t>Cartron pomme verte ( яблочный ликёр )</t>
        </is>
      </c>
      <c r="C65" s="278" t="inlineStr">
        <is>
          <t>15 мл</t>
        </is>
      </c>
      <c r="D65" s="279" t="n"/>
      <c r="E65" s="279" t="n"/>
      <c r="F65" s="272" t="n"/>
      <c r="G65" s="272" t="n"/>
    </row>
    <row r="66">
      <c r="A66" s="272" t="n"/>
      <c r="B66" s="272" t="inlineStr">
        <is>
          <t>Молочная кислота</t>
        </is>
      </c>
      <c r="C66" s="273" t="inlineStr">
        <is>
          <t>15 мл</t>
        </is>
      </c>
      <c r="D66" s="272" t="n"/>
      <c r="E66" s="272" t="n"/>
      <c r="F66" s="272" t="n"/>
      <c r="G66" s="272" t="n"/>
    </row>
    <row r="67">
      <c r="A67" s="272" t="n"/>
      <c r="B67" s="272" t="inlineStr">
        <is>
          <t>Сироп сахар</t>
        </is>
      </c>
      <c r="C67" s="273" t="inlineStr">
        <is>
          <t>5 мл</t>
        </is>
      </c>
      <c r="D67" s="272" t="n"/>
      <c r="E67" s="272" t="n"/>
      <c r="F67" s="272" t="n"/>
      <c r="G67" s="272" t="n"/>
    </row>
    <row r="68">
      <c r="A68" s="272" t="n"/>
      <c r="B68" s="272" t="inlineStr">
        <is>
          <t>Содовавя</t>
        </is>
      </c>
      <c r="C68" s="273" t="inlineStr">
        <is>
          <t>20 мл</t>
        </is>
      </c>
      <c r="D68" s="272" t="n"/>
      <c r="E68" s="272" t="n"/>
      <c r="F68" s="272" t="n"/>
      <c r="G68" s="272" t="n"/>
    </row>
    <row r="69">
      <c r="A69" s="269" t="inlineStr">
        <is>
          <t>Название</t>
        </is>
      </c>
      <c r="B69" s="269" t="inlineStr">
        <is>
          <t>Ингридиенты</t>
        </is>
      </c>
      <c r="C69" s="269" t="inlineStr">
        <is>
          <t>кол-во</t>
        </is>
      </c>
      <c r="D69" s="269" t="inlineStr">
        <is>
          <t>Гарнир</t>
        </is>
      </c>
      <c r="E69" s="269" t="inlineStr">
        <is>
          <t>Посуда</t>
        </is>
      </c>
      <c r="F69" s="269" t="inlineStr">
        <is>
          <t>Лёд</t>
        </is>
      </c>
      <c r="G69" s="269" t="inlineStr">
        <is>
          <t>Метод</t>
        </is>
      </c>
    </row>
    <row r="70">
      <c r="A70" s="272" t="inlineStr">
        <is>
          <t>Ядерный джулеп</t>
        </is>
      </c>
      <c r="B70" s="426" t="inlineStr">
        <is>
          <t>Old Virginia ( бурбон )</t>
        </is>
      </c>
      <c r="C70" s="273" t="inlineStr">
        <is>
          <t>40 мл</t>
        </is>
      </c>
      <c r="D70" s="273" t="inlineStr">
        <is>
          <t>ядерблок</t>
        </is>
      </c>
      <c r="E70" s="273" t="inlineStr">
        <is>
          <t>джулеп</t>
        </is>
      </c>
      <c r="F70" s="273" t="inlineStr">
        <is>
          <t>фрапэ</t>
        </is>
      </c>
      <c r="G70" s="273" t="inlineStr">
        <is>
          <t>свизл</t>
        </is>
      </c>
    </row>
    <row r="71">
      <c r="A71" s="272" t="n"/>
      <c r="B71" s="272" t="inlineStr">
        <is>
          <t>Сироп кукуруза</t>
        </is>
      </c>
      <c r="C71" s="273" t="inlineStr">
        <is>
          <t>40 мл</t>
        </is>
      </c>
      <c r="D71" s="273" t="n"/>
      <c r="E71" s="273" t="n"/>
      <c r="F71" s="273" t="n"/>
      <c r="G71" s="273" t="n"/>
    </row>
    <row r="72">
      <c r="A72" s="269" t="inlineStr">
        <is>
          <t>Название</t>
        </is>
      </c>
      <c r="B72" s="269" t="inlineStr">
        <is>
          <t>Ингридиенты</t>
        </is>
      </c>
      <c r="C72" s="269" t="inlineStr">
        <is>
          <t>кол-во</t>
        </is>
      </c>
      <c r="D72" s="269" t="inlineStr">
        <is>
          <t>Гарнир</t>
        </is>
      </c>
      <c r="E72" s="269" t="inlineStr">
        <is>
          <t>Посуда</t>
        </is>
      </c>
      <c r="F72" s="269" t="inlineStr">
        <is>
          <t>Лёд</t>
        </is>
      </c>
      <c r="G72" s="269" t="inlineStr">
        <is>
          <t>Метод</t>
        </is>
      </c>
    </row>
    <row r="73">
      <c r="A73" s="72" t="inlineStr">
        <is>
          <t>BB Energy</t>
        </is>
      </c>
      <c r="B73" s="72" t="inlineStr">
        <is>
          <t>Martini Rubino</t>
        </is>
      </c>
      <c r="C73" s="283" t="inlineStr">
        <is>
          <t>40 мл</t>
        </is>
      </c>
      <c r="D73" s="282" t="inlineStr">
        <is>
          <t>стикер ББ</t>
        </is>
      </c>
      <c r="E73" s="282" t="inlineStr">
        <is>
          <t>хайбол/банка</t>
        </is>
      </c>
      <c r="F73" s="282" t="inlineStr">
        <is>
          <t>кусок</t>
        </is>
      </c>
      <c r="G73" s="282" t="inlineStr">
        <is>
          <t>билд/стир</t>
        </is>
      </c>
    </row>
    <row r="74">
      <c r="A74" s="72" t="n"/>
      <c r="B74" s="72" t="inlineStr">
        <is>
          <t>Bols pech ( ликёр персик )</t>
        </is>
      </c>
      <c r="C74" s="283" t="inlineStr">
        <is>
          <t>10 мл</t>
        </is>
      </c>
      <c r="D74" s="282" t="n"/>
      <c r="E74" s="282" t="n"/>
      <c r="F74" s="282" t="n"/>
      <c r="G74" s="282" t="n"/>
    </row>
    <row r="75">
      <c r="A75" s="72" t="n"/>
      <c r="B75" s="72" t="inlineStr">
        <is>
          <t>Содовая ББ</t>
        </is>
      </c>
      <c r="C75" s="283" t="inlineStr">
        <is>
          <t>125 мл ( топ )</t>
        </is>
      </c>
      <c r="D75" s="282" t="n"/>
      <c r="E75" s="282" t="n"/>
      <c r="F75" s="282" t="n"/>
      <c r="G75" s="282" t="n"/>
    </row>
    <row r="76">
      <c r="A76" s="269" t="inlineStr">
        <is>
          <t>Название</t>
        </is>
      </c>
      <c r="B76" s="269" t="inlineStr">
        <is>
          <t>Ингридиенты</t>
        </is>
      </c>
      <c r="C76" s="269" t="inlineStr">
        <is>
          <t>кол-во</t>
        </is>
      </c>
      <c r="D76" s="269" t="inlineStr">
        <is>
          <t>Гарнир</t>
        </is>
      </c>
      <c r="E76" s="269" t="inlineStr">
        <is>
          <t>Посуда</t>
        </is>
      </c>
      <c r="F76" s="269" t="inlineStr">
        <is>
          <t>Лёд</t>
        </is>
      </c>
      <c r="G76" s="269" t="inlineStr">
        <is>
          <t>Метод</t>
        </is>
      </c>
    </row>
    <row r="77">
      <c r="A77" s="72" t="inlineStr">
        <is>
          <t>BB Energy б/а</t>
        </is>
      </c>
      <c r="B77" s="72" t="inlineStr">
        <is>
          <t>Содовая ББ</t>
        </is>
      </c>
      <c r="C77" s="283" t="inlineStr">
        <is>
          <t>225 мл ( топ )</t>
        </is>
      </c>
      <c r="D77" s="282" t="inlineStr">
        <is>
          <t>стикер ББ</t>
        </is>
      </c>
      <c r="E77" s="282" t="inlineStr">
        <is>
          <t>хайбол/банка</t>
        </is>
      </c>
      <c r="F77" s="282" t="inlineStr">
        <is>
          <t>кусок</t>
        </is>
      </c>
      <c r="G77" s="282" t="inlineStr">
        <is>
          <t>билд/стир</t>
        </is>
      </c>
    </row>
    <row r="78">
      <c r="A78" s="284" t="n"/>
      <c r="B78" s="284" t="n"/>
      <c r="C78" s="284" t="n"/>
      <c r="D78" s="284" t="n"/>
      <c r="E78" s="284" t="n"/>
      <c r="F78" s="284" t="n"/>
      <c r="G78" s="284" t="n"/>
    </row>
    <row r="79">
      <c r="A79" s="284" t="n"/>
      <c r="B79" s="284" t="n"/>
      <c r="C79" s="284" t="n"/>
      <c r="D79" s="285" t="inlineStr">
        <is>
          <t>8 vip</t>
        </is>
      </c>
      <c r="E79" s="286" t="n"/>
      <c r="F79" s="284" t="n"/>
      <c r="G79" s="284" t="n"/>
    </row>
    <row r="80">
      <c r="A80" s="284" t="n"/>
      <c r="B80" s="284" t="n"/>
      <c r="C80" s="284" t="n"/>
      <c r="D80" s="287" t="n"/>
      <c r="E80" s="286" t="n"/>
      <c r="F80" s="284" t="n"/>
      <c r="G80" s="284" t="n"/>
    </row>
    <row r="81">
      <c r="A81" s="288" t="inlineStr">
        <is>
          <t>Название</t>
        </is>
      </c>
      <c r="B81" s="288" t="inlineStr">
        <is>
          <t>Ингридиенты</t>
        </is>
      </c>
      <c r="C81" s="318" t="inlineStr">
        <is>
          <t>кол-во</t>
        </is>
      </c>
      <c r="D81" s="288" t="inlineStr">
        <is>
          <t>Гарнир</t>
        </is>
      </c>
      <c r="E81" s="288" t="inlineStr">
        <is>
          <t>Посуда</t>
        </is>
      </c>
      <c r="F81" s="288" t="inlineStr">
        <is>
          <t>Лёд</t>
        </is>
      </c>
      <c r="G81" s="288" t="inlineStr">
        <is>
          <t>Метод</t>
        </is>
      </c>
    </row>
    <row r="82">
      <c r="A82" s="58" t="inlineStr">
        <is>
          <t>Ананас-кокос ( 8 vip )</t>
        </is>
      </c>
      <c r="B82" s="309" t="inlineStr">
        <is>
          <t>МП Пинаколада б/а</t>
        </is>
      </c>
      <c r="C82" s="299" t="inlineStr">
        <is>
          <t>400 мл</t>
        </is>
      </c>
      <c r="D82" s="293" t="inlineStr">
        <is>
          <t>ботл</t>
        </is>
      </c>
      <c r="E82" s="297" t="inlineStr">
        <is>
          <t>ботл</t>
        </is>
      </c>
      <c r="F82" s="299" t="inlineStr">
        <is>
          <t>нет</t>
        </is>
      </c>
      <c r="G82" s="299" t="inlineStr">
        <is>
          <t>стир</t>
        </is>
      </c>
    </row>
    <row r="83">
      <c r="A83" s="309" t="inlineStr">
        <is>
          <t>б/а</t>
        </is>
      </c>
      <c r="B83" s="309" t="inlineStr">
        <is>
          <t>Сироп кокос</t>
        </is>
      </c>
      <c r="C83" s="299" t="inlineStr">
        <is>
          <t>50 мл</t>
        </is>
      </c>
      <c r="D83" s="293" t="n"/>
      <c r="E83" s="297" t="n"/>
      <c r="F83" s="299" t="n"/>
      <c r="G83" s="299" t="n"/>
    </row>
    <row r="84">
      <c r="A84" s="309" t="n"/>
      <c r="B84" s="309" t="inlineStr">
        <is>
          <t>столовая вода ( просто из фильтра )</t>
        </is>
      </c>
      <c r="C84" s="300" t="inlineStr">
        <is>
          <t>50 мл</t>
        </is>
      </c>
      <c r="D84" s="293" t="n"/>
      <c r="E84" s="297" t="n"/>
      <c r="F84" s="299" t="n"/>
      <c r="G84" s="299" t="n"/>
    </row>
    <row r="85">
      <c r="A85" s="288" t="inlineStr">
        <is>
          <t>Название</t>
        </is>
      </c>
      <c r="B85" s="288" t="inlineStr">
        <is>
          <t>Ингридиенты</t>
        </is>
      </c>
      <c r="C85" s="254" t="inlineStr">
        <is>
          <t>кол-во</t>
        </is>
      </c>
      <c r="D85" s="288" t="inlineStr">
        <is>
          <t>Гарнир</t>
        </is>
      </c>
      <c r="E85" s="288" t="inlineStr">
        <is>
          <t>Посуда</t>
        </is>
      </c>
      <c r="F85" s="288" t="inlineStr">
        <is>
          <t>Лёд</t>
        </is>
      </c>
      <c r="G85" s="288" t="inlineStr">
        <is>
          <t>Метод</t>
        </is>
      </c>
    </row>
    <row r="86">
      <c r="A86" s="58" t="inlineStr">
        <is>
          <t>Клюква-малина ( 8 vip )</t>
        </is>
      </c>
      <c r="B86" s="309" t="inlineStr">
        <is>
          <t>Б/а Розовое вино</t>
        </is>
      </c>
      <c r="C86" s="299" t="inlineStr">
        <is>
          <t>350 мл</t>
        </is>
      </c>
      <c r="D86" s="293" t="inlineStr">
        <is>
          <t>ботл</t>
        </is>
      </c>
      <c r="E86" s="297" t="inlineStr">
        <is>
          <t>ботл</t>
        </is>
      </c>
      <c r="F86" s="299" t="inlineStr">
        <is>
          <t>нет</t>
        </is>
      </c>
      <c r="G86" s="299" t="inlineStr">
        <is>
          <t>стир</t>
        </is>
      </c>
    </row>
    <row r="87">
      <c r="A87" s="309" t="inlineStr">
        <is>
          <t>б/а</t>
        </is>
      </c>
      <c r="B87" s="309" t="inlineStr">
        <is>
          <t>Кордиал каркаде/малина/клюква биттер</t>
        </is>
      </c>
      <c r="C87" s="299" t="inlineStr">
        <is>
          <t>100 мл</t>
        </is>
      </c>
      <c r="D87" s="293" t="n"/>
      <c r="E87" s="297" t="n"/>
      <c r="F87" s="299" t="n"/>
      <c r="G87" s="299" t="n"/>
    </row>
    <row r="88">
      <c r="A88" s="309" t="n"/>
      <c r="B88" s="309" t="inlineStr">
        <is>
          <t>столовая вода ( просто из фильтра )</t>
        </is>
      </c>
      <c r="C88" s="300" t="inlineStr">
        <is>
          <t>50 мл</t>
        </is>
      </c>
      <c r="D88" s="293" t="n"/>
      <c r="E88" s="297" t="n"/>
      <c r="F88" s="299" t="n"/>
      <c r="G88" s="299" t="n"/>
    </row>
    <row r="89">
      <c r="A89" s="288" t="inlineStr">
        <is>
          <t>Название</t>
        </is>
      </c>
      <c r="B89" s="288" t="inlineStr">
        <is>
          <t>Ингридиенты</t>
        </is>
      </c>
      <c r="C89" s="254" t="inlineStr">
        <is>
          <t>кол-во</t>
        </is>
      </c>
      <c r="D89" s="288" t="inlineStr">
        <is>
          <t>Гарнир</t>
        </is>
      </c>
      <c r="E89" s="288" t="inlineStr">
        <is>
          <t>Посуда</t>
        </is>
      </c>
      <c r="F89" s="288" t="inlineStr">
        <is>
          <t>Лёд</t>
        </is>
      </c>
      <c r="G89" s="288" t="inlineStr">
        <is>
          <t>Метод</t>
        </is>
      </c>
    </row>
    <row r="90">
      <c r="A90" s="58" t="inlineStr">
        <is>
          <t>Пряный персик ( 8 vip )</t>
        </is>
      </c>
      <c r="B90" s="309" t="inlineStr">
        <is>
          <t>Цитрус бурбон</t>
        </is>
      </c>
      <c r="C90" s="299" t="inlineStr">
        <is>
          <t>150 мл</t>
        </is>
      </c>
      <c r="D90" s="293" t="inlineStr">
        <is>
          <t>ботл</t>
        </is>
      </c>
      <c r="E90" s="297" t="inlineStr">
        <is>
          <t>ботл</t>
        </is>
      </c>
      <c r="F90" s="299" t="inlineStr">
        <is>
          <t>нет</t>
        </is>
      </c>
      <c r="G90" s="299" t="inlineStr">
        <is>
          <t>стир</t>
        </is>
      </c>
    </row>
    <row r="91">
      <c r="A91" s="309" t="inlineStr">
        <is>
          <t>alco</t>
        </is>
      </c>
      <c r="B91" s="309" t="inlineStr">
        <is>
          <t>Б/а Розовое вино</t>
        </is>
      </c>
      <c r="C91" s="299" t="inlineStr">
        <is>
          <t>150 мл</t>
        </is>
      </c>
      <c r="D91" s="293" t="n"/>
      <c r="E91" s="297" t="n"/>
      <c r="F91" s="299" t="n"/>
      <c r="G91" s="299" t="n"/>
    </row>
    <row r="92">
      <c r="A92" s="309" t="n"/>
      <c r="B92" s="309" t="inlineStr">
        <is>
          <t>Кордиал персик/специи</t>
        </is>
      </c>
      <c r="C92" s="299" t="inlineStr">
        <is>
          <t>150 мл</t>
        </is>
      </c>
      <c r="D92" s="293" t="n"/>
      <c r="E92" s="297" t="n"/>
      <c r="F92" s="299" t="n"/>
      <c r="G92" s="299" t="n"/>
    </row>
    <row r="93">
      <c r="A93" s="309" t="n"/>
      <c r="B93" s="309" t="inlineStr">
        <is>
          <t>столовая вода ( просто из фильтра )</t>
        </is>
      </c>
      <c r="C93" s="299" t="inlineStr">
        <is>
          <t>50 мл</t>
        </is>
      </c>
      <c r="D93" s="293" t="n"/>
      <c r="E93" s="297" t="n"/>
      <c r="F93" s="299" t="n"/>
      <c r="G93" s="299" t="n"/>
    </row>
    <row r="94">
      <c r="A94" s="288" t="inlineStr">
        <is>
          <t>Название</t>
        </is>
      </c>
      <c r="B94" s="288" t="inlineStr">
        <is>
          <t>Ингридиенты</t>
        </is>
      </c>
      <c r="C94" s="318" t="inlineStr">
        <is>
          <t>кол-во</t>
        </is>
      </c>
      <c r="D94" s="288" t="inlineStr">
        <is>
          <t>Гарнир</t>
        </is>
      </c>
      <c r="E94" s="288" t="inlineStr">
        <is>
          <t>Посуда</t>
        </is>
      </c>
      <c r="F94" s="288" t="inlineStr">
        <is>
          <t>Лёд</t>
        </is>
      </c>
      <c r="G94" s="288" t="inlineStr">
        <is>
          <t>Метод</t>
        </is>
      </c>
    </row>
    <row r="95">
      <c r="A95" s="58" t="inlineStr">
        <is>
          <t>Абрикос/лаванда ( 8 vip )</t>
        </is>
      </c>
      <c r="B95" s="309" t="inlineStr">
        <is>
          <t>МП Бурбон/абрикос/орехи</t>
        </is>
      </c>
      <c r="C95" s="299" t="inlineStr">
        <is>
          <t>200 мл</t>
        </is>
      </c>
      <c r="D95" s="293" t="inlineStr">
        <is>
          <t>ботл</t>
        </is>
      </c>
      <c r="E95" s="297" t="inlineStr">
        <is>
          <t>ботл</t>
        </is>
      </c>
      <c r="F95" s="299" t="inlineStr">
        <is>
          <t>нет</t>
        </is>
      </c>
      <c r="G95" s="299" t="inlineStr">
        <is>
          <t>стир</t>
        </is>
      </c>
    </row>
    <row r="96">
      <c r="A96" s="309" t="inlineStr">
        <is>
          <t>alco</t>
        </is>
      </c>
      <c r="B96" s="309" t="inlineStr">
        <is>
          <t>Кордиал чёрная смородина/лаванда</t>
        </is>
      </c>
      <c r="C96" s="299" t="inlineStr">
        <is>
          <t>125 мл</t>
        </is>
      </c>
      <c r="D96" s="293" t="n"/>
      <c r="E96" s="297" t="n"/>
      <c r="F96" s="299" t="n"/>
      <c r="G96" s="299" t="n"/>
    </row>
    <row r="97">
      <c r="A97" s="309" t="n"/>
      <c r="B97" s="309" t="inlineStr">
        <is>
          <t>столовая вода ( просто из фильтра )</t>
        </is>
      </c>
      <c r="C97" s="299" t="inlineStr">
        <is>
          <t>125 мл</t>
        </is>
      </c>
      <c r="D97" s="311" t="n"/>
      <c r="E97" s="312" t="n"/>
      <c r="F97" s="309" t="n"/>
      <c r="G97" s="309" t="n"/>
    </row>
    <row r="98">
      <c r="A98" s="284" t="n"/>
      <c r="B98" s="284" t="n"/>
      <c r="C98" s="313" t="n"/>
      <c r="D98" s="287" t="n"/>
      <c r="E98" s="286" t="n"/>
      <c r="F98" s="284" t="n"/>
      <c r="G98" s="284" t="n"/>
    </row>
    <row r="99">
      <c r="D99" s="314" t="inlineStr">
        <is>
          <t>Team SPIRIT</t>
        </is>
      </c>
    </row>
    <row r="100">
      <c r="D100" s="315" t="n"/>
    </row>
    <row r="101">
      <c r="A101" s="318" t="inlineStr">
        <is>
          <t>Название</t>
        </is>
      </c>
      <c r="B101" s="357" t="inlineStr">
        <is>
          <t>Ингридиенты</t>
        </is>
      </c>
      <c r="C101" s="356" t="inlineStr">
        <is>
          <t>кол-во</t>
        </is>
      </c>
      <c r="D101" s="318" t="inlineStr">
        <is>
          <t>Гарнир</t>
        </is>
      </c>
      <c r="E101" s="357" t="inlineStr">
        <is>
          <t>Посуда</t>
        </is>
      </c>
      <c r="F101" s="357" t="inlineStr">
        <is>
          <t>Лёд</t>
        </is>
      </c>
      <c r="G101" s="357" t="inlineStr">
        <is>
          <t>Метод</t>
        </is>
      </c>
    </row>
    <row r="102">
      <c r="A102" s="272" t="inlineStr">
        <is>
          <t>Yatoro</t>
        </is>
      </c>
      <c r="B102" s="272" t="inlineStr">
        <is>
          <t>Bosford ( джин )</t>
        </is>
      </c>
      <c r="C102" s="273" t="inlineStr">
        <is>
          <t>40 мл</t>
        </is>
      </c>
      <c r="D102" s="319" t="inlineStr">
        <is>
          <t>карточка</t>
        </is>
      </c>
      <c r="E102" s="273" t="inlineStr">
        <is>
          <t>флютэ</t>
        </is>
      </c>
      <c r="F102" s="273" t="inlineStr">
        <is>
          <t>нет</t>
        </is>
      </c>
      <c r="G102" s="273" t="inlineStr">
        <is>
          <t>шейк/фроу</t>
        </is>
      </c>
    </row>
    <row r="103">
      <c r="A103" s="272" t="inlineStr">
        <is>
          <t xml:space="preserve"> ( красный )</t>
        </is>
      </c>
      <c r="B103" s="272" t="inlineStr">
        <is>
          <t>Cartron crem de cassis</t>
        </is>
      </c>
      <c r="C103" s="273" t="inlineStr">
        <is>
          <t>10 мл</t>
        </is>
      </c>
      <c r="D103" s="273" t="n"/>
      <c r="E103" s="273" t="n"/>
      <c r="F103" s="273" t="n"/>
      <c r="G103" s="273" t="n"/>
    </row>
    <row r="104">
      <c r="A104" s="272" t="n"/>
      <c r="B104" s="272" t="inlineStr">
        <is>
          <t>Clavis драгонфрут/личи/белый кардамон</t>
        </is>
      </c>
      <c r="C104" s="273" t="inlineStr">
        <is>
          <t>40 мл</t>
        </is>
      </c>
      <c r="D104" s="273" t="n"/>
      <c r="E104" s="273" t="n"/>
      <c r="F104" s="273" t="n"/>
      <c r="G104" s="273" t="n"/>
    </row>
    <row r="105">
      <c r="A105" s="272" t="n"/>
      <c r="B105" s="272" t="inlineStr">
        <is>
          <t>Prosecco Casa Defra</t>
        </is>
      </c>
      <c r="C105" s="273" t="inlineStr">
        <is>
          <t>80 мл ( топ )</t>
        </is>
      </c>
      <c r="D105" s="273" t="n"/>
      <c r="E105" s="273" t="n"/>
      <c r="F105" s="273" t="n"/>
      <c r="G105" s="273" t="n"/>
    </row>
    <row r="106">
      <c r="A106" s="272" t="n"/>
      <c r="B106" s="272" t="inlineStr">
        <is>
          <t>bouble drops</t>
        </is>
      </c>
      <c r="C106" s="273" t="inlineStr">
        <is>
          <t>2 drop</t>
        </is>
      </c>
      <c r="D106" s="273" t="n"/>
      <c r="E106" s="273" t="n"/>
      <c r="F106" s="273" t="n"/>
      <c r="G106" s="273" t="n"/>
    </row>
    <row r="107">
      <c r="A107" s="269" t="inlineStr">
        <is>
          <t>Название</t>
        </is>
      </c>
      <c r="B107" s="269" t="inlineStr">
        <is>
          <t>Ингридиенты</t>
        </is>
      </c>
      <c r="C107" s="269" t="inlineStr">
        <is>
          <t>кол-во</t>
        </is>
      </c>
      <c r="D107" s="269" t="inlineStr">
        <is>
          <t>Гарнир</t>
        </is>
      </c>
      <c r="E107" s="269" t="inlineStr">
        <is>
          <t>Посуда</t>
        </is>
      </c>
      <c r="F107" s="269" t="inlineStr">
        <is>
          <t>Лёд</t>
        </is>
      </c>
      <c r="G107" s="269" t="inlineStr">
        <is>
          <t>Метод</t>
        </is>
      </c>
    </row>
    <row r="108">
      <c r="A108" s="272" t="inlineStr">
        <is>
          <t>Larl</t>
        </is>
      </c>
      <c r="B108" s="272" t="inlineStr">
        <is>
          <t>Bosford ( джин )</t>
        </is>
      </c>
      <c r="C108" s="273" t="inlineStr">
        <is>
          <t>40 мл</t>
        </is>
      </c>
      <c r="D108" s="273" t="inlineStr">
        <is>
          <t>карточка</t>
        </is>
      </c>
      <c r="E108" s="273" t="inlineStr">
        <is>
          <t>флютэ</t>
        </is>
      </c>
      <c r="F108" s="273" t="inlineStr">
        <is>
          <t>нет</t>
        </is>
      </c>
      <c r="G108" s="273" t="inlineStr">
        <is>
          <t>шейк/фроу</t>
        </is>
      </c>
    </row>
    <row r="109">
      <c r="A109" s="272" t="inlineStr">
        <is>
          <t>( розовый )</t>
        </is>
      </c>
      <c r="B109" s="272" t="inlineStr">
        <is>
          <t>Clavis васельки/черёмуха/голубика</t>
        </is>
      </c>
      <c r="C109" s="273" t="inlineStr">
        <is>
          <t>40 мл</t>
        </is>
      </c>
      <c r="D109" s="273" t="n"/>
      <c r="E109" s="273" t="n"/>
      <c r="F109" s="273" t="n"/>
      <c r="G109" s="273" t="n"/>
    </row>
    <row r="110">
      <c r="A110" s="272" t="n"/>
      <c r="B110" s="272" t="inlineStr">
        <is>
          <t>Prosecco Casa Defra</t>
        </is>
      </c>
      <c r="C110" s="273" t="inlineStr">
        <is>
          <t>80 мл ( топ )</t>
        </is>
      </c>
      <c r="D110" s="273" t="n"/>
      <c r="E110" s="273" t="n"/>
      <c r="F110" s="273" t="n"/>
      <c r="G110" s="273" t="n"/>
    </row>
    <row r="111">
      <c r="A111" s="272" t="n"/>
      <c r="B111" s="272" t="inlineStr">
        <is>
          <t>bouble drops</t>
        </is>
      </c>
      <c r="C111" s="273" t="inlineStr">
        <is>
          <t>2 drop</t>
        </is>
      </c>
      <c r="D111" s="273" t="n"/>
      <c r="E111" s="273" t="n"/>
      <c r="F111" s="273" t="n"/>
      <c r="G111" s="273" t="n"/>
    </row>
    <row r="112">
      <c r="A112" s="269" t="inlineStr">
        <is>
          <t>Название</t>
        </is>
      </c>
      <c r="B112" s="269" t="inlineStr">
        <is>
          <t>Ингридиенты</t>
        </is>
      </c>
      <c r="C112" s="269" t="inlineStr">
        <is>
          <t>кол-во</t>
        </is>
      </c>
      <c r="D112" s="269" t="inlineStr">
        <is>
          <t>Гарнир</t>
        </is>
      </c>
      <c r="E112" s="269" t="inlineStr">
        <is>
          <t>Посуда</t>
        </is>
      </c>
      <c r="F112" s="269" t="inlineStr">
        <is>
          <t>Лёд</t>
        </is>
      </c>
      <c r="G112" s="269" t="inlineStr">
        <is>
          <t>Метод</t>
        </is>
      </c>
    </row>
    <row r="113">
      <c r="A113" s="272" t="inlineStr">
        <is>
          <t>Collapse</t>
        </is>
      </c>
      <c r="B113" s="272" t="inlineStr">
        <is>
          <t>Bosford ( джин )</t>
        </is>
      </c>
      <c r="C113" s="273" t="inlineStr">
        <is>
          <t>40 мл</t>
        </is>
      </c>
      <c r="D113" s="273" t="inlineStr">
        <is>
          <t>карточка</t>
        </is>
      </c>
      <c r="E113" s="273" t="inlineStr">
        <is>
          <t>флютэ</t>
        </is>
      </c>
      <c r="F113" s="273" t="inlineStr">
        <is>
          <t>нет</t>
        </is>
      </c>
      <c r="G113" s="273" t="inlineStr">
        <is>
          <t>шейк/фроу</t>
        </is>
      </c>
    </row>
    <row r="114">
      <c r="A114" s="272" t="inlineStr">
        <is>
          <t>( чёрный )</t>
        </is>
      </c>
      <c r="B114" s="272" t="inlineStr">
        <is>
          <t>Clavis лаванда/зизифора/кактус</t>
        </is>
      </c>
      <c r="C114" s="273" t="inlineStr">
        <is>
          <t>40 мл</t>
        </is>
      </c>
      <c r="D114" s="273" t="n"/>
      <c r="E114" s="273" t="n"/>
      <c r="F114" s="273" t="n"/>
      <c r="G114" s="273" t="n"/>
    </row>
    <row r="115">
      <c r="A115" s="272" t="n"/>
      <c r="B115" s="272" t="inlineStr">
        <is>
          <t>Prosecco Casa Defra</t>
        </is>
      </c>
      <c r="C115" s="273" t="inlineStr">
        <is>
          <t>80 мл ( топ )</t>
        </is>
      </c>
      <c r="D115" s="273" t="n"/>
      <c r="E115" s="273" t="n"/>
      <c r="F115" s="273" t="n"/>
      <c r="G115" s="273" t="n"/>
    </row>
    <row r="116">
      <c r="A116" s="272" t="n"/>
      <c r="B116" s="272" t="inlineStr">
        <is>
          <t>bouble drops</t>
        </is>
      </c>
      <c r="C116" s="273" t="inlineStr">
        <is>
          <t>2 drop</t>
        </is>
      </c>
      <c r="D116" s="273" t="n"/>
      <c r="E116" s="273" t="n"/>
      <c r="F116" s="273" t="n"/>
      <c r="G116" s="273" t="n"/>
    </row>
    <row r="117">
      <c r="A117" s="269" t="inlineStr">
        <is>
          <t>Название</t>
        </is>
      </c>
      <c r="B117" s="269" t="inlineStr">
        <is>
          <t>Ингридиенты</t>
        </is>
      </c>
      <c r="C117" s="269" t="inlineStr">
        <is>
          <t>кол-во</t>
        </is>
      </c>
      <c r="D117" s="269" t="inlineStr">
        <is>
          <t>Гарнир</t>
        </is>
      </c>
      <c r="E117" s="269" t="inlineStr">
        <is>
          <t>Посуда</t>
        </is>
      </c>
      <c r="F117" s="269" t="inlineStr">
        <is>
          <t>Лёд</t>
        </is>
      </c>
      <c r="G117" s="269" t="inlineStr">
        <is>
          <t>Метод</t>
        </is>
      </c>
    </row>
    <row r="118">
      <c r="A118" s="272" t="inlineStr">
        <is>
          <t>Mira</t>
        </is>
      </c>
      <c r="B118" s="272" t="inlineStr">
        <is>
          <t>Bosford ( джин )</t>
        </is>
      </c>
      <c r="C118" s="273" t="inlineStr">
        <is>
          <t>40 мл</t>
        </is>
      </c>
      <c r="D118" s="273" t="inlineStr">
        <is>
          <t>карточка</t>
        </is>
      </c>
      <c r="E118" s="273" t="inlineStr">
        <is>
          <t>флютэ</t>
        </is>
      </c>
      <c r="F118" s="273" t="inlineStr">
        <is>
          <t>нет</t>
        </is>
      </c>
      <c r="G118" s="273" t="inlineStr">
        <is>
          <t>шейк/фроу</t>
        </is>
      </c>
    </row>
    <row r="119">
      <c r="A119" s="272" t="inlineStr">
        <is>
          <t>( синий )</t>
        </is>
      </c>
      <c r="B119" s="272" t="inlineStr">
        <is>
          <t>Clavis персик/ханибуш/эстрагон</t>
        </is>
      </c>
      <c r="C119" s="273" t="inlineStr">
        <is>
          <t>40 мл</t>
        </is>
      </c>
      <c r="D119" s="273" t="n"/>
      <c r="E119" s="273" t="n"/>
      <c r="F119" s="273" t="n"/>
      <c r="G119" s="273" t="n"/>
    </row>
    <row r="120">
      <c r="A120" s="272" t="n"/>
      <c r="B120" s="272" t="inlineStr">
        <is>
          <t>Prosecco Casa Defra</t>
        </is>
      </c>
      <c r="C120" s="273" t="inlineStr">
        <is>
          <t>80 мл ( топ )</t>
        </is>
      </c>
      <c r="D120" s="273" t="n"/>
      <c r="E120" s="273" t="n"/>
      <c r="F120" s="273" t="n"/>
      <c r="G120" s="273" t="n"/>
    </row>
    <row r="121">
      <c r="A121" s="272" t="n"/>
      <c r="B121" s="272" t="inlineStr">
        <is>
          <t>bouble drops</t>
        </is>
      </c>
      <c r="C121" s="273" t="inlineStr">
        <is>
          <t>2 drop</t>
        </is>
      </c>
      <c r="D121" s="273" t="n"/>
      <c r="E121" s="273" t="n"/>
      <c r="F121" s="273" t="n"/>
      <c r="G121" s="273" t="n"/>
    </row>
    <row r="122">
      <c r="A122" s="269" t="inlineStr">
        <is>
          <t>Название</t>
        </is>
      </c>
      <c r="B122" s="269" t="inlineStr">
        <is>
          <t>Ингридиенты</t>
        </is>
      </c>
      <c r="C122" s="269" t="inlineStr">
        <is>
          <t>кол-во</t>
        </is>
      </c>
      <c r="D122" s="269" t="inlineStr">
        <is>
          <t>Гарнир</t>
        </is>
      </c>
      <c r="E122" s="269" t="inlineStr">
        <is>
          <t>Посуда</t>
        </is>
      </c>
      <c r="F122" s="269" t="inlineStr">
        <is>
          <t>Лёд</t>
        </is>
      </c>
      <c r="G122" s="269" t="inlineStr">
        <is>
          <t>Метод</t>
        </is>
      </c>
    </row>
    <row r="123">
      <c r="A123" s="272" t="inlineStr">
        <is>
          <t>Miposhka</t>
        </is>
      </c>
      <c r="B123" s="272" t="inlineStr">
        <is>
          <t>Bosford ( джин )</t>
        </is>
      </c>
      <c r="C123" s="273" t="inlineStr">
        <is>
          <t>40 мл</t>
        </is>
      </c>
      <c r="D123" s="273" t="inlineStr">
        <is>
          <t>карточка</t>
        </is>
      </c>
      <c r="E123" s="273" t="inlineStr">
        <is>
          <t>флютэ</t>
        </is>
      </c>
      <c r="F123" s="273" t="inlineStr">
        <is>
          <t>нет</t>
        </is>
      </c>
      <c r="G123" s="273" t="inlineStr">
        <is>
          <t>шейк/фроу</t>
        </is>
      </c>
    </row>
    <row r="124">
      <c r="A124" s="272" t="inlineStr">
        <is>
          <t>( жёлтый )</t>
        </is>
      </c>
      <c r="B124" s="272" t="inlineStr">
        <is>
          <t>Clavis кастелла кейк/клубника/бобы тонка</t>
        </is>
      </c>
      <c r="C124" s="273" t="inlineStr">
        <is>
          <t>40 мл</t>
        </is>
      </c>
      <c r="D124" s="273" t="n"/>
      <c r="E124" s="273" t="n"/>
      <c r="F124" s="273" t="n"/>
      <c r="G124" s="273" t="n"/>
    </row>
    <row r="125">
      <c r="A125" s="272" t="n"/>
      <c r="B125" s="272" t="inlineStr">
        <is>
          <t>Prosecco Casa Defra</t>
        </is>
      </c>
      <c r="C125" s="273" t="inlineStr">
        <is>
          <t>80 мл ( топ )</t>
        </is>
      </c>
      <c r="D125" s="273" t="n"/>
      <c r="E125" s="273" t="n"/>
      <c r="F125" s="273" t="n"/>
      <c r="G125" s="273" t="n"/>
    </row>
    <row r="126">
      <c r="A126" s="272" t="n"/>
      <c r="B126" s="272" t="inlineStr">
        <is>
          <t>bouble drops</t>
        </is>
      </c>
      <c r="C126" s="273" t="inlineStr">
        <is>
          <t>2 drop</t>
        </is>
      </c>
      <c r="D126" s="273" t="n"/>
      <c r="E126" s="273" t="n"/>
      <c r="F126" s="273" t="n"/>
      <c r="G126" s="273" t="n"/>
    </row>
    <row r="127"/>
    <row r="128"/>
    <row r="129">
      <c r="D129" s="314" t="inlineStr">
        <is>
          <t>new Patch</t>
        </is>
      </c>
    </row>
    <row r="130"/>
    <row r="131">
      <c r="A131" s="253" t="inlineStr">
        <is>
          <t>Название</t>
        </is>
      </c>
      <c r="B131" s="254" t="inlineStr">
        <is>
          <t>Ингридиенты</t>
        </is>
      </c>
      <c r="C131" s="254" t="inlineStr">
        <is>
          <t>кол-во</t>
        </is>
      </c>
      <c r="D131" s="254" t="inlineStr">
        <is>
          <t>Гарнир</t>
        </is>
      </c>
      <c r="E131" s="254" t="inlineStr">
        <is>
          <t>Посуда</t>
        </is>
      </c>
      <c r="F131" s="254" t="inlineStr">
        <is>
          <t>Лёд</t>
        </is>
      </c>
      <c r="G131" s="254" t="inlineStr">
        <is>
          <t>Метод</t>
        </is>
      </c>
    </row>
    <row r="132">
      <c r="A132" s="58" t="inlineStr">
        <is>
          <t>Dune</t>
        </is>
      </c>
      <c r="B132" s="323" t="inlineStr">
        <is>
          <t>inf Vodka/орех</t>
        </is>
      </c>
      <c r="C132" s="366" t="inlineStr">
        <is>
          <t>50 мл</t>
        </is>
      </c>
      <c r="D132" s="366" t="inlineStr">
        <is>
          <t>кастомная подача</t>
        </is>
      </c>
      <c r="E132" s="366" t="inlineStr">
        <is>
          <t>колбы</t>
        </is>
      </c>
      <c r="F132" s="366" t="inlineStr">
        <is>
          <t>нет</t>
        </is>
      </c>
      <c r="G132" s="366" t="inlineStr">
        <is>
          <t>стир</t>
        </is>
      </c>
    </row>
    <row r="133">
      <c r="A133" s="524" t="n"/>
      <c r="B133" s="323" t="inlineStr">
        <is>
          <t>сироп куркума</t>
        </is>
      </c>
      <c r="C133" s="366" t="inlineStr">
        <is>
          <t>20 мл</t>
        </is>
      </c>
      <c r="D133" s="524" t="n"/>
      <c r="E133" s="524" t="n"/>
      <c r="F133" s="524" t="n"/>
      <c r="G133" s="524" t="n"/>
    </row>
    <row r="134">
      <c r="A134" s="524" t="n"/>
      <c r="B134" s="323" t="inlineStr">
        <is>
          <t>мк</t>
        </is>
      </c>
      <c r="C134" s="366" t="inlineStr">
        <is>
          <t>10 мл</t>
        </is>
      </c>
      <c r="D134" s="524" t="n"/>
      <c r="E134" s="524" t="n"/>
      <c r="F134" s="524" t="n"/>
      <c r="G134" s="524" t="n"/>
    </row>
    <row r="135">
      <c r="A135" s="318" t="inlineStr">
        <is>
          <t>Название</t>
        </is>
      </c>
      <c r="B135" s="318" t="inlineStr">
        <is>
          <t>Ингридиенты</t>
        </is>
      </c>
      <c r="C135" s="318" t="inlineStr">
        <is>
          <t>кол-во</t>
        </is>
      </c>
      <c r="D135" s="318" t="inlineStr">
        <is>
          <t>Гарнир</t>
        </is>
      </c>
      <c r="E135" s="318" t="inlineStr">
        <is>
          <t>Посуда</t>
        </is>
      </c>
      <c r="F135" s="318" t="inlineStr">
        <is>
          <t>Лёд</t>
        </is>
      </c>
      <c r="G135" s="318" t="inlineStr">
        <is>
          <t>Метод</t>
        </is>
      </c>
    </row>
    <row r="136">
      <c r="A136" s="58" t="inlineStr">
        <is>
          <t>Sub-zero</t>
        </is>
      </c>
      <c r="B136" s="323" t="inlineStr">
        <is>
          <t>inf Vodka/HOLS</t>
        </is>
      </c>
      <c r="C136" s="366" t="inlineStr">
        <is>
          <t>60 мл</t>
        </is>
      </c>
      <c r="D136" s="366" t="inlineStr">
        <is>
          <t>мороженное из ментола с</t>
        </is>
      </c>
      <c r="E136" s="366" t="inlineStr">
        <is>
          <t>хайбол ( тонкий )</t>
        </is>
      </c>
      <c r="F136" s="366" t="inlineStr">
        <is>
          <t>стики ( тонкие )</t>
        </is>
      </c>
      <c r="G136" s="366" t="inlineStr">
        <is>
          <t>стир</t>
        </is>
      </c>
    </row>
    <row r="137">
      <c r="A137" s="524" t="n"/>
      <c r="B137" s="323" t="inlineStr">
        <is>
          <t>Самбука</t>
        </is>
      </c>
      <c r="C137" s="366" t="inlineStr">
        <is>
          <t>5 мл</t>
        </is>
      </c>
      <c r="D137" s="366" t="inlineStr">
        <is>
          <t>электрическими цветами</t>
        </is>
      </c>
      <c r="E137" s="524" t="n"/>
      <c r="F137" s="524" t="n"/>
      <c r="G137" s="524" t="n"/>
    </row>
    <row r="138">
      <c r="A138" s="524" t="n"/>
      <c r="B138" s="323" t="inlineStr">
        <is>
          <t>сироп Сахар</t>
        </is>
      </c>
      <c r="C138" s="366" t="inlineStr">
        <is>
          <t>10 мл</t>
        </is>
      </c>
      <c r="D138" s="524" t="n"/>
      <c r="E138" s="524" t="n"/>
      <c r="F138" s="524" t="n"/>
      <c r="G138" s="524" t="n"/>
    </row>
    <row r="139">
      <c r="A139" s="524" t="n"/>
      <c r="B139" s="323" t="inlineStr">
        <is>
          <t>мк</t>
        </is>
      </c>
      <c r="C139" s="366" t="inlineStr">
        <is>
          <t>10 мл</t>
        </is>
      </c>
      <c r="D139" s="524" t="n"/>
      <c r="E139" s="524" t="n"/>
      <c r="F139" s="524" t="n"/>
      <c r="G139" s="524" t="n"/>
    </row>
    <row r="140">
      <c r="A140" s="524" t="n"/>
      <c r="B140" s="323" t="inlineStr">
        <is>
          <t>Tonic rich ( топ )</t>
        </is>
      </c>
      <c r="C140" s="366" t="inlineStr">
        <is>
          <t>1 шт</t>
        </is>
      </c>
      <c r="D140" s="524" t="n"/>
      <c r="E140" s="524" t="n"/>
      <c r="F140" s="524" t="n"/>
      <c r="G140" s="524" t="n"/>
    </row>
    <row r="141">
      <c r="A141" s="318" t="inlineStr">
        <is>
          <t>Название</t>
        </is>
      </c>
      <c r="B141" s="318" t="inlineStr">
        <is>
          <t>Ингридиенты</t>
        </is>
      </c>
      <c r="C141" s="318" t="inlineStr">
        <is>
          <t>кол-во</t>
        </is>
      </c>
      <c r="D141" s="318" t="inlineStr">
        <is>
          <t>Гарнир</t>
        </is>
      </c>
      <c r="E141" s="318" t="inlineStr">
        <is>
          <t>Посуда</t>
        </is>
      </c>
      <c r="F141" s="318" t="inlineStr">
        <is>
          <t>Лёд</t>
        </is>
      </c>
      <c r="G141" s="318" t="inlineStr">
        <is>
          <t>Метод</t>
        </is>
      </c>
    </row>
    <row r="142">
      <c r="A142" s="58" t="inlineStr">
        <is>
          <t>Max Payne</t>
        </is>
      </c>
      <c r="B142" s="323" t="inlineStr">
        <is>
          <t>Бурбон ( Old Virginia )</t>
        </is>
      </c>
      <c r="C142" s="366" t="inlineStr">
        <is>
          <t>50 мл</t>
        </is>
      </c>
      <c r="D142" s="366" t="inlineStr">
        <is>
          <t>шоколадный шоко-трансфер</t>
        </is>
      </c>
      <c r="E142" s="366" t="inlineStr">
        <is>
          <t>рокс с пулей</t>
        </is>
      </c>
      <c r="F142" s="366" t="inlineStr">
        <is>
          <t>глыба 5х6</t>
        </is>
      </c>
      <c r="G142" s="366" t="inlineStr">
        <is>
          <t>стир</t>
        </is>
      </c>
    </row>
    <row r="143">
      <c r="A143" s="524" t="n"/>
      <c r="B143" s="323" t="inlineStr">
        <is>
          <t>inf Pinot Noir/чернослив</t>
        </is>
      </c>
      <c r="C143" s="366" t="inlineStr">
        <is>
          <t>30 мл</t>
        </is>
      </c>
      <c r="D143" s="366" t="inlineStr">
        <is>
          <t xml:space="preserve"> с принтом</t>
        </is>
      </c>
      <c r="E143" s="524" t="n"/>
      <c r="F143" s="524" t="n"/>
      <c r="G143" s="524" t="n"/>
    </row>
    <row r="144">
      <c r="A144" s="524" t="n"/>
      <c r="B144" s="323" t="inlineStr">
        <is>
          <t>сироп сахар</t>
        </is>
      </c>
      <c r="C144" s="366" t="inlineStr">
        <is>
          <t>15 мл</t>
        </is>
      </c>
      <c r="D144" s="524" t="n"/>
      <c r="E144" s="524" t="n"/>
      <c r="F144" s="524" t="n"/>
      <c r="G144" s="524" t="n"/>
    </row>
    <row r="145">
      <c r="A145" s="524" t="n"/>
      <c r="B145" s="323" t="inlineStr">
        <is>
          <t>мк</t>
        </is>
      </c>
      <c r="C145" s="366" t="inlineStr">
        <is>
          <t>10 мл</t>
        </is>
      </c>
      <c r="D145" s="524" t="n"/>
      <c r="E145" s="524" t="n"/>
      <c r="F145" s="524" t="n"/>
      <c r="G145" s="524" t="n"/>
    </row>
    <row r="146">
      <c r="A146" s="318" t="inlineStr">
        <is>
          <t>Название</t>
        </is>
      </c>
      <c r="B146" s="318" t="inlineStr">
        <is>
          <t>Ингридиенты</t>
        </is>
      </c>
      <c r="C146" s="318" t="inlineStr">
        <is>
          <t>кол-во</t>
        </is>
      </c>
      <c r="D146" s="318" t="inlineStr">
        <is>
          <t>Гарнир</t>
        </is>
      </c>
      <c r="E146" s="318" t="inlineStr">
        <is>
          <t>Посуда</t>
        </is>
      </c>
      <c r="F146" s="318" t="inlineStr">
        <is>
          <t>Лёд</t>
        </is>
      </c>
      <c r="G146" s="318" t="inlineStr">
        <is>
          <t>Метод</t>
        </is>
      </c>
    </row>
    <row r="147">
      <c r="A147" s="58" t="inlineStr">
        <is>
          <t>Mandalorian</t>
        </is>
      </c>
      <c r="B147" s="323" t="inlineStr">
        <is>
          <t>nitro TIKI mix</t>
        </is>
      </c>
      <c r="C147" s="366" t="inlineStr">
        <is>
          <t>60 мл</t>
        </is>
      </c>
      <c r="D147" s="366" t="inlineStr">
        <is>
          <t>грогу/леденец</t>
        </is>
      </c>
      <c r="E147" s="366" t="inlineStr">
        <is>
          <t>тики голова</t>
        </is>
      </c>
      <c r="F147" s="366" t="inlineStr">
        <is>
          <t>глыба 5х6</t>
        </is>
      </c>
      <c r="G147" s="366" t="inlineStr">
        <is>
          <t>стир</t>
        </is>
      </c>
    </row>
    <row r="148">
      <c r="A148" s="524" t="n"/>
      <c r="B148" s="323" t="inlineStr">
        <is>
          <t>Sarti Rossa</t>
        </is>
      </c>
      <c r="C148" s="366" t="inlineStr">
        <is>
          <t>20 мл</t>
        </is>
      </c>
      <c r="D148" s="524" t="n"/>
      <c r="E148" s="524" t="n"/>
      <c r="F148" s="524" t="n"/>
      <c r="G148" s="524" t="n"/>
    </row>
    <row r="149">
      <c r="A149" s="524" t="n"/>
      <c r="B149" s="323" t="inlineStr">
        <is>
          <t>сироп банан ( в ассортименте )</t>
        </is>
      </c>
      <c r="C149" s="366" t="inlineStr">
        <is>
          <t>5 мл</t>
        </is>
      </c>
      <c r="D149" s="524" t="n"/>
      <c r="E149" s="524" t="n"/>
      <c r="F149" s="524" t="n"/>
      <c r="G149" s="524" t="n"/>
    </row>
    <row r="150">
      <c r="A150" s="318" t="inlineStr">
        <is>
          <t>Название</t>
        </is>
      </c>
      <c r="B150" s="318" t="inlineStr">
        <is>
          <t>Ингридиенты</t>
        </is>
      </c>
      <c r="C150" s="318" t="inlineStr">
        <is>
          <t>кол-во</t>
        </is>
      </c>
      <c r="D150" s="318" t="inlineStr">
        <is>
          <t>Гарнир</t>
        </is>
      </c>
      <c r="E150" s="318" t="inlineStr">
        <is>
          <t>Посуда</t>
        </is>
      </c>
      <c r="F150" s="318" t="inlineStr">
        <is>
          <t>Лёд</t>
        </is>
      </c>
      <c r="G150" s="318" t="inlineStr">
        <is>
          <t>Метод</t>
        </is>
      </c>
    </row>
    <row r="151">
      <c r="A151" s="58" t="inlineStr">
        <is>
          <t>Serious Sam</t>
        </is>
      </c>
      <c r="B151" s="323" t="inlineStr">
        <is>
          <t>inf Ром ( fat wash )</t>
        </is>
      </c>
      <c r="C151" s="366" t="inlineStr">
        <is>
          <t>60 мл</t>
        </is>
      </c>
      <c r="D151" s="366" t="inlineStr">
        <is>
          <t>костер/бомба</t>
        </is>
      </c>
      <c r="E151" s="366" t="inlineStr">
        <is>
          <t xml:space="preserve">рокс ( круглый ) </t>
        </is>
      </c>
      <c r="F151" s="366" t="inlineStr">
        <is>
          <t>сфера</t>
        </is>
      </c>
      <c r="G151" s="366" t="inlineStr">
        <is>
          <t>стир</t>
        </is>
      </c>
    </row>
    <row r="152">
      <c r="A152" s="524" t="n"/>
      <c r="B152" s="323" t="inlineStr">
        <is>
          <t>cordial Blood oramge/b.pineapple</t>
        </is>
      </c>
      <c r="C152" s="366" t="inlineStr">
        <is>
          <t>30 мл</t>
        </is>
      </c>
      <c r="D152" s="366" t="inlineStr">
        <is>
          <t>краситель ( чёрный )</t>
        </is>
      </c>
      <c r="E152" s="524" t="n"/>
      <c r="F152" s="524" t="n"/>
      <c r="G152" s="524" t="n"/>
    </row>
    <row r="153">
      <c r="A153" s="524" t="n"/>
      <c r="B153" s="323" t="inlineStr">
        <is>
          <t>мк</t>
        </is>
      </c>
      <c r="C153" s="366" t="inlineStr">
        <is>
          <t>10 мл</t>
        </is>
      </c>
      <c r="D153" s="524" t="n"/>
      <c r="E153" s="524" t="n"/>
      <c r="F153" s="524" t="n"/>
      <c r="G153" s="524" t="n"/>
    </row>
    <row r="154">
      <c r="A154" s="318" t="inlineStr">
        <is>
          <t>Название</t>
        </is>
      </c>
      <c r="B154" s="318" t="inlineStr">
        <is>
          <t>Ингридиенты</t>
        </is>
      </c>
      <c r="C154" s="318" t="inlineStr">
        <is>
          <t>кол-во</t>
        </is>
      </c>
      <c r="D154" s="318" t="inlineStr">
        <is>
          <t>Гарнир</t>
        </is>
      </c>
      <c r="E154" s="318" t="inlineStr">
        <is>
          <t>Посуда</t>
        </is>
      </c>
      <c r="F154" s="318" t="inlineStr">
        <is>
          <t>Лёд</t>
        </is>
      </c>
      <c r="G154" s="318" t="inlineStr">
        <is>
          <t>Метод</t>
        </is>
      </c>
    </row>
    <row r="155">
      <c r="A155" s="58" t="inlineStr">
        <is>
          <t>Mario</t>
        </is>
      </c>
      <c r="B155" s="323" t="inlineStr">
        <is>
          <t>Cruxland ( джин )</t>
        </is>
      </c>
      <c r="C155" s="366" t="inlineStr">
        <is>
          <t>30 мл</t>
        </is>
      </c>
      <c r="D155" s="366" t="inlineStr">
        <is>
          <t>гриб ( сахарная помада )</t>
        </is>
      </c>
      <c r="E155" s="366" t="inlineStr">
        <is>
          <t>труба</t>
        </is>
      </c>
      <c r="F155" s="366" t="inlineStr">
        <is>
          <t>краш</t>
        </is>
      </c>
      <c r="G155" s="366" t="inlineStr">
        <is>
          <t>свизл</t>
        </is>
      </c>
    </row>
    <row r="156">
      <c r="A156" s="524" t="n"/>
      <c r="B156" s="323" t="inlineStr">
        <is>
          <t>Шитаки/матча соус</t>
        </is>
      </c>
      <c r="C156" s="366" t="inlineStr">
        <is>
          <t>30 мл</t>
        </is>
      </c>
      <c r="D156" s="366" t="inlineStr">
        <is>
          <t>кастомная подача</t>
        </is>
      </c>
      <c r="E156" s="524" t="n"/>
      <c r="F156" s="524" t="n"/>
      <c r="G156" s="524" t="n"/>
    </row>
    <row r="157">
      <c r="A157" s="524" t="n"/>
      <c r="B157" s="323" t="inlineStr">
        <is>
          <t>Cartron white cacao</t>
        </is>
      </c>
      <c r="C157" s="366" t="inlineStr">
        <is>
          <t>10 мл</t>
        </is>
      </c>
      <c r="D157" s="366" t="inlineStr">
        <is>
          <t>3 ящика + монета</t>
        </is>
      </c>
      <c r="E157" s="524" t="n"/>
      <c r="F157" s="524" t="n"/>
      <c r="G157" s="524" t="n"/>
    </row>
    <row r="158">
      <c r="A158" s="524" t="n"/>
      <c r="B158" s="323" t="inlineStr">
        <is>
          <t>Cartron elderflower</t>
        </is>
      </c>
      <c r="C158" s="366" t="inlineStr">
        <is>
          <t>15 мл</t>
        </is>
      </c>
      <c r="D158" s="524" t="n"/>
      <c r="E158" s="524" t="n"/>
      <c r="F158" s="524" t="n"/>
      <c r="G158" s="524" t="n"/>
    </row>
    <row r="159">
      <c r="A159" s="524" t="n"/>
      <c r="B159" s="524" t="n"/>
      <c r="C159" s="524" t="n"/>
      <c r="D159" s="524" t="n"/>
      <c r="E159" s="524" t="n"/>
      <c r="F159" s="524" t="n"/>
      <c r="G159" s="52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632"/>
  <sheetViews>
    <sheetView workbookViewId="0">
      <selection activeCell="A1" sqref="A1"/>
    </sheetView>
  </sheetViews>
  <sheetFormatPr baseColWidth="8" defaultColWidth="14.43" defaultRowHeight="15" customHeight="1"/>
  <cols>
    <col width="20.14" customWidth="1" style="552" min="1" max="1"/>
    <col width="29" customWidth="1" style="552" min="2" max="2"/>
    <col width="22.29" customWidth="1" style="552" min="4" max="4"/>
    <col width="17.14" customWidth="1" style="552" min="5" max="5"/>
    <col width="17.86" customWidth="1" style="552" min="6" max="6"/>
  </cols>
  <sheetData>
    <row r="1">
      <c r="A1" s="375" t="inlineStr">
        <is>
          <t>Название</t>
        </is>
      </c>
      <c r="B1" s="291" t="inlineStr">
        <is>
          <t>Ингредиент</t>
        </is>
      </c>
      <c r="C1" s="291" t="inlineStr">
        <is>
          <t>Кол-во</t>
        </is>
      </c>
      <c r="D1" s="291" t="inlineStr">
        <is>
          <t>Гарнир</t>
        </is>
      </c>
      <c r="E1" s="291" t="inlineStr">
        <is>
          <t>Посуда</t>
        </is>
      </c>
      <c r="F1" s="291" t="inlineStr">
        <is>
          <t>Метод</t>
        </is>
      </c>
    </row>
    <row r="2">
      <c r="A2" s="369" t="inlineStr">
        <is>
          <t>Alexander</t>
        </is>
      </c>
      <c r="B2" s="296" t="inlineStr">
        <is>
          <t>Bosford ( джин )</t>
        </is>
      </c>
      <c r="C2" s="307" t="n">
        <v>45</v>
      </c>
      <c r="D2" s="307" t="inlineStr">
        <is>
          <t>Мускатный орех 2 грм</t>
        </is>
      </c>
      <c r="E2" s="307" t="inlineStr">
        <is>
          <t>Ник и Нора</t>
        </is>
      </c>
      <c r="F2" s="307" t="inlineStr">
        <is>
          <t>Шейк</t>
        </is>
      </c>
    </row>
    <row r="3">
      <c r="A3" s="301" t="n"/>
      <c r="B3" s="421" t="inlineStr">
        <is>
          <t>Bols white cacao</t>
        </is>
      </c>
      <c r="C3" s="307" t="n">
        <v>30</v>
      </c>
      <c r="D3" s="303" t="n"/>
      <c r="E3" s="303" t="n"/>
      <c r="F3" s="303" t="n"/>
    </row>
    <row r="4">
      <c r="A4" s="301" t="n"/>
      <c r="B4" s="421" t="inlineStr">
        <is>
          <t>Сливки 11%</t>
        </is>
      </c>
      <c r="C4" s="307" t="n">
        <v>30</v>
      </c>
      <c r="D4" s="303" t="n"/>
      <c r="E4" s="303" t="n"/>
      <c r="F4" s="303" t="n"/>
    </row>
    <row r="5">
      <c r="A5" s="305" t="inlineStr">
        <is>
          <t>Название</t>
        </is>
      </c>
      <c r="B5" s="306" t="inlineStr">
        <is>
          <t>Ингредиент</t>
        </is>
      </c>
      <c r="C5" s="306" t="inlineStr">
        <is>
          <t>Кол-во</t>
        </is>
      </c>
      <c r="D5" s="306" t="inlineStr">
        <is>
          <t>Гарнир</t>
        </is>
      </c>
      <c r="E5" s="306" t="inlineStr">
        <is>
          <t>Посуда</t>
        </is>
      </c>
      <c r="F5" s="306" t="inlineStr">
        <is>
          <t>Метод</t>
        </is>
      </c>
    </row>
    <row r="6">
      <c r="A6" s="369" t="inlineStr">
        <is>
          <t>Americano</t>
        </is>
      </c>
      <c r="B6" s="421" t="inlineStr">
        <is>
          <t>Martini rosso</t>
        </is>
      </c>
      <c r="C6" s="307" t="n">
        <v>30</v>
      </c>
      <c r="D6" s="307" t="inlineStr">
        <is>
          <t>Цедра апельсина</t>
        </is>
      </c>
      <c r="E6" s="307" t="inlineStr">
        <is>
          <t>Хайболл</t>
        </is>
      </c>
      <c r="F6" s="307" t="inlineStr">
        <is>
          <t>Билд</t>
        </is>
      </c>
    </row>
    <row r="7">
      <c r="A7" s="301" t="n"/>
      <c r="B7" s="421" t="inlineStr">
        <is>
          <t>Campari</t>
        </is>
      </c>
      <c r="C7" s="307" t="n">
        <v>30</v>
      </c>
      <c r="D7" s="303" t="n"/>
      <c r="E7" s="303" t="n"/>
      <c r="F7" s="303" t="n"/>
    </row>
    <row r="8">
      <c r="A8" s="301" t="n"/>
      <c r="B8" s="421" t="inlineStr">
        <is>
          <t>содовая ( Ledenev )</t>
        </is>
      </c>
      <c r="C8" s="307" t="n">
        <v>50</v>
      </c>
      <c r="D8" s="303" t="n"/>
      <c r="E8" s="303" t="n"/>
      <c r="F8" s="303" t="n"/>
    </row>
    <row r="9">
      <c r="A9" s="305" t="inlineStr">
        <is>
          <t>Название</t>
        </is>
      </c>
      <c r="B9" s="306" t="inlineStr">
        <is>
          <t>Ингредиент</t>
        </is>
      </c>
      <c r="C9" s="306" t="inlineStr">
        <is>
          <t>Кол-во</t>
        </is>
      </c>
      <c r="D9" s="306" t="inlineStr">
        <is>
          <t>Гарнир</t>
        </is>
      </c>
      <c r="E9" s="306" t="inlineStr">
        <is>
          <t>Посуда</t>
        </is>
      </c>
      <c r="F9" s="306" t="inlineStr">
        <is>
          <t>Метод</t>
        </is>
      </c>
    </row>
    <row r="10">
      <c r="A10" s="369" t="inlineStr">
        <is>
          <t>Aviation</t>
        </is>
      </c>
      <c r="B10" s="296" t="inlineStr">
        <is>
          <t>Bosford ( джин )</t>
        </is>
      </c>
      <c r="C10" s="307" t="n">
        <v>45</v>
      </c>
      <c r="D10" s="307" t="inlineStr">
        <is>
          <t>Цедра лимона</t>
        </is>
      </c>
      <c r="E10" s="307" t="inlineStr">
        <is>
          <t>Ник и Нора</t>
        </is>
      </c>
      <c r="F10" s="307" t="inlineStr">
        <is>
          <t>Шейк</t>
        </is>
      </c>
    </row>
    <row r="11">
      <c r="A11" s="301" t="n"/>
      <c r="B11" s="363" t="inlineStr">
        <is>
          <t>Bols maraschino</t>
        </is>
      </c>
      <c r="C11" s="307" t="n">
        <v>20</v>
      </c>
      <c r="D11" s="303" t="n"/>
      <c r="E11" s="303" t="n"/>
      <c r="F11" s="303" t="n"/>
    </row>
    <row r="12">
      <c r="A12" s="301" t="n"/>
      <c r="B12" s="421" t="inlineStr">
        <is>
          <t>Cartron violet</t>
        </is>
      </c>
      <c r="C12" s="307" t="n">
        <v>10</v>
      </c>
      <c r="D12" s="310" t="n"/>
      <c r="E12" s="303" t="n"/>
      <c r="F12" s="303" t="n"/>
    </row>
    <row r="13">
      <c r="A13" s="301" t="n"/>
      <c r="B13" s="421" t="inlineStr">
        <is>
          <t>Сироп сахар</t>
        </is>
      </c>
      <c r="C13" s="307" t="n">
        <v>5</v>
      </c>
      <c r="D13" s="303" t="n"/>
      <c r="E13" s="303" t="n"/>
      <c r="F13" s="303" t="n"/>
    </row>
    <row r="14">
      <c r="A14" s="301" t="n"/>
      <c r="B14" s="421" t="inlineStr">
        <is>
          <t>Сок лимона</t>
        </is>
      </c>
      <c r="C14" s="307" t="n">
        <v>10</v>
      </c>
      <c r="D14" s="303" t="n"/>
      <c r="E14" s="303" t="n"/>
      <c r="F14" s="303" t="n"/>
    </row>
    <row r="15">
      <c r="A15" s="305" t="inlineStr">
        <is>
          <t>Название</t>
        </is>
      </c>
      <c r="B15" s="306" t="inlineStr">
        <is>
          <t>Ингредиент</t>
        </is>
      </c>
      <c r="C15" s="306" t="inlineStr">
        <is>
          <t>Кол-во</t>
        </is>
      </c>
      <c r="D15" s="306" t="inlineStr">
        <is>
          <t>Гарнир</t>
        </is>
      </c>
      <c r="E15" s="306" t="inlineStr">
        <is>
          <t>Посуда</t>
        </is>
      </c>
      <c r="F15" s="306" t="inlineStr">
        <is>
          <t>Метод</t>
        </is>
      </c>
    </row>
    <row r="16">
      <c r="A16" s="369" t="inlineStr">
        <is>
          <t>Adonis</t>
        </is>
      </c>
      <c r="B16" s="421" t="inlineStr">
        <is>
          <t>Barbadillo fino</t>
        </is>
      </c>
      <c r="C16" s="307" t="n">
        <v>60</v>
      </c>
      <c r="D16" s="307" t="inlineStr">
        <is>
          <t>Цедра апельсина</t>
        </is>
      </c>
      <c r="E16" s="307" t="inlineStr">
        <is>
          <t>Ник и Нора</t>
        </is>
      </c>
      <c r="F16" s="307" t="inlineStr">
        <is>
          <t>Стир</t>
        </is>
      </c>
    </row>
    <row r="17">
      <c r="A17" s="301" t="n"/>
      <c r="B17" s="421" t="inlineStr">
        <is>
          <t>Martini rosso</t>
        </is>
      </c>
      <c r="C17" s="307" t="n">
        <v>30</v>
      </c>
      <c r="D17" s="303" t="n"/>
      <c r="E17" s="303" t="n"/>
      <c r="F17" s="303" t="n"/>
    </row>
    <row r="18">
      <c r="A18" s="301" t="n"/>
      <c r="B18" s="421" t="inlineStr">
        <is>
          <t>Angostura orange bitter</t>
        </is>
      </c>
      <c r="C18" s="307" t="n">
        <v>2</v>
      </c>
      <c r="D18" s="303" t="n"/>
      <c r="E18" s="303" t="n"/>
      <c r="F18" s="303" t="n"/>
    </row>
    <row r="19">
      <c r="A19" s="305" t="inlineStr">
        <is>
          <t>Название</t>
        </is>
      </c>
      <c r="B19" s="306" t="inlineStr">
        <is>
          <t>Ингредиент</t>
        </is>
      </c>
      <c r="C19" s="306" t="inlineStr">
        <is>
          <t>Кол-во</t>
        </is>
      </c>
      <c r="D19" s="306" t="inlineStr">
        <is>
          <t>Гарнир</t>
        </is>
      </c>
      <c r="E19" s="306" t="inlineStr">
        <is>
          <t>Посуда</t>
        </is>
      </c>
      <c r="F19" s="306" t="inlineStr">
        <is>
          <t>Метод</t>
        </is>
      </c>
    </row>
    <row r="20">
      <c r="A20" s="369" t="inlineStr">
        <is>
          <t>Angel Face</t>
        </is>
      </c>
      <c r="B20" s="296" t="inlineStr">
        <is>
          <t>Bosford ( джин )</t>
        </is>
      </c>
      <c r="C20" s="307" t="n">
        <v>30</v>
      </c>
      <c r="D20" s="307" t="inlineStr">
        <is>
          <t>Цедра апельсина</t>
        </is>
      </c>
      <c r="E20" s="307" t="inlineStr">
        <is>
          <t>Ник и Нора</t>
        </is>
      </c>
      <c r="F20" s="307" t="inlineStr">
        <is>
          <t>Стир</t>
        </is>
      </c>
    </row>
    <row r="21">
      <c r="A21" s="301" t="n"/>
      <c r="B21" s="421" t="inlineStr">
        <is>
          <t>Calvados du Per Lez VS</t>
        </is>
      </c>
      <c r="C21" s="307" t="n">
        <v>30</v>
      </c>
      <c r="D21" s="303" t="n"/>
      <c r="E21" s="303" t="n"/>
      <c r="F21" s="303" t="n"/>
    </row>
    <row r="22">
      <c r="A22" s="301" t="n"/>
      <c r="B22" s="421" t="inlineStr">
        <is>
          <t>Bols apricot brandy</t>
        </is>
      </c>
      <c r="C22" s="307" t="n">
        <v>30</v>
      </c>
      <c r="D22" s="303" t="n"/>
      <c r="E22" s="303" t="n"/>
      <c r="F22" s="303" t="n"/>
    </row>
    <row r="23">
      <c r="A23" s="305" t="inlineStr">
        <is>
          <t>Название</t>
        </is>
      </c>
      <c r="B23" s="306" t="inlineStr">
        <is>
          <t>Ингредиент</t>
        </is>
      </c>
      <c r="C23" s="306" t="inlineStr">
        <is>
          <t>Кол-во</t>
        </is>
      </c>
      <c r="D23" s="306" t="inlineStr">
        <is>
          <t>Гарнир</t>
        </is>
      </c>
      <c r="E23" s="306" t="inlineStr">
        <is>
          <t>Посуда</t>
        </is>
      </c>
      <c r="F23" s="306" t="inlineStr">
        <is>
          <t>Метод</t>
        </is>
      </c>
    </row>
    <row r="24">
      <c r="A24" s="369" t="inlineStr">
        <is>
          <t>Affinity</t>
        </is>
      </c>
      <c r="B24" s="421" t="inlineStr">
        <is>
          <t>Dewar's white lable</t>
        </is>
      </c>
      <c r="C24" s="307" t="n">
        <v>30</v>
      </c>
      <c r="D24" s="307" t="inlineStr">
        <is>
          <t>Цедра апельсина</t>
        </is>
      </c>
      <c r="E24" s="307" t="inlineStr">
        <is>
          <t>Ник и Нора</t>
        </is>
      </c>
      <c r="F24" s="307" t="inlineStr">
        <is>
          <t>Стир</t>
        </is>
      </c>
    </row>
    <row r="25">
      <c r="A25" s="301" t="n"/>
      <c r="B25" s="421" t="inlineStr">
        <is>
          <t>Amaro montenegro</t>
        </is>
      </c>
      <c r="C25" s="307" t="n">
        <v>30</v>
      </c>
      <c r="D25" s="303" t="n"/>
      <c r="E25" s="303" t="n"/>
      <c r="F25" s="303" t="n"/>
    </row>
    <row r="26">
      <c r="A26" s="301" t="n"/>
      <c r="B26" s="421" t="inlineStr">
        <is>
          <t>Martini extra dry</t>
        </is>
      </c>
      <c r="C26" s="307" t="n">
        <v>30</v>
      </c>
      <c r="D26" s="303" t="n"/>
      <c r="E26" s="303" t="n"/>
      <c r="F26" s="303" t="n"/>
    </row>
    <row r="27">
      <c r="A27" s="301" t="n"/>
      <c r="B27" s="421" t="inlineStr">
        <is>
          <t>Angostura bitter</t>
        </is>
      </c>
      <c r="C27" s="307" t="n">
        <v>1</v>
      </c>
      <c r="D27" s="303" t="n"/>
      <c r="E27" s="303" t="n"/>
      <c r="F27" s="303" t="n"/>
    </row>
    <row r="28">
      <c r="A28" s="305" t="inlineStr">
        <is>
          <t>Название</t>
        </is>
      </c>
      <c r="B28" s="306" t="inlineStr">
        <is>
          <t>Ингредиент</t>
        </is>
      </c>
      <c r="C28" s="306" t="inlineStr">
        <is>
          <t>Кол-во</t>
        </is>
      </c>
      <c r="D28" s="306" t="inlineStr">
        <is>
          <t>Гарнир</t>
        </is>
      </c>
      <c r="E28" s="306" t="inlineStr">
        <is>
          <t>Посуда</t>
        </is>
      </c>
      <c r="F28" s="306" t="inlineStr">
        <is>
          <t>Метод</t>
        </is>
      </c>
    </row>
    <row r="29">
      <c r="A29" s="369" t="inlineStr">
        <is>
          <t>Army &amp; Navy</t>
        </is>
      </c>
      <c r="B29" s="296" t="inlineStr">
        <is>
          <t>Bosford ( джин )</t>
        </is>
      </c>
      <c r="C29" s="307" t="n">
        <v>60</v>
      </c>
      <c r="D29" s="307" t="inlineStr">
        <is>
          <t>Цедра лимона</t>
        </is>
      </c>
      <c r="E29" s="307" t="inlineStr">
        <is>
          <t>Ник и Нора</t>
        </is>
      </c>
      <c r="F29" s="307" t="inlineStr">
        <is>
          <t>Шейк</t>
        </is>
      </c>
    </row>
    <row r="30">
      <c r="A30" s="301" t="n"/>
      <c r="B30" s="421" t="inlineStr">
        <is>
          <t>Сок лимона</t>
        </is>
      </c>
      <c r="C30" s="307" t="n">
        <v>20</v>
      </c>
      <c r="D30" s="303" t="n"/>
      <c r="E30" s="303" t="n"/>
      <c r="F30" s="303" t="n"/>
    </row>
    <row r="31">
      <c r="A31" s="301" t="n"/>
      <c r="B31" s="421" t="inlineStr">
        <is>
          <t>Миндальный сироп</t>
        </is>
      </c>
      <c r="C31" s="307" t="n">
        <v>15</v>
      </c>
      <c r="D31" s="303" t="n"/>
      <c r="E31" s="303" t="n"/>
      <c r="F31" s="303" t="n"/>
    </row>
    <row r="32">
      <c r="A32" s="301" t="n"/>
      <c r="B32" s="421" t="inlineStr">
        <is>
          <t>Angostura bitter</t>
        </is>
      </c>
      <c r="C32" s="307" t="n">
        <v>1</v>
      </c>
      <c r="D32" s="303" t="n"/>
      <c r="E32" s="303" t="n"/>
      <c r="F32" s="303" t="n"/>
    </row>
    <row r="33">
      <c r="A33" s="305" t="inlineStr">
        <is>
          <t>Название</t>
        </is>
      </c>
      <c r="B33" s="306" t="inlineStr">
        <is>
          <t>Ингредиент</t>
        </is>
      </c>
      <c r="C33" s="306" t="inlineStr">
        <is>
          <t>Кол-во</t>
        </is>
      </c>
      <c r="D33" s="306" t="inlineStr">
        <is>
          <t>Гарнир</t>
        </is>
      </c>
      <c r="E33" s="306" t="inlineStr">
        <is>
          <t>Посуда</t>
        </is>
      </c>
      <c r="F33" s="306" t="inlineStr">
        <is>
          <t>Метод</t>
        </is>
      </c>
    </row>
    <row r="34">
      <c r="A34" s="369" t="inlineStr">
        <is>
          <t>Aperol Spritz</t>
        </is>
      </c>
      <c r="B34" s="421" t="inlineStr">
        <is>
          <t>Aperol</t>
        </is>
      </c>
      <c r="C34" s="307" t="n">
        <v>70</v>
      </c>
      <c r="D34" s="307" t="inlineStr">
        <is>
          <t>Апельсин слайс 20 грм</t>
        </is>
      </c>
      <c r="E34" s="307" t="inlineStr">
        <is>
          <t>Винный бокал</t>
        </is>
      </c>
      <c r="F34" s="307" t="inlineStr">
        <is>
          <t>Билд</t>
        </is>
      </c>
    </row>
    <row r="35">
      <c r="A35" s="301" t="n"/>
      <c r="B35" s="421" t="inlineStr">
        <is>
          <t>Casa defra ( просекко )</t>
        </is>
      </c>
      <c r="C35" s="307" t="n">
        <v>100</v>
      </c>
      <c r="D35" s="303" t="n"/>
      <c r="E35" s="303" t="n"/>
      <c r="F35" s="303" t="n"/>
    </row>
    <row r="36">
      <c r="A36" s="301" t="n"/>
      <c r="B36" s="421" t="inlineStr">
        <is>
          <t>содовая ( Ledenev )</t>
        </is>
      </c>
      <c r="C36" s="307" t="n">
        <v>30</v>
      </c>
      <c r="D36" s="303" t="n"/>
      <c r="E36" s="303" t="n"/>
      <c r="F36" s="303" t="n"/>
    </row>
    <row r="37">
      <c r="A37" s="305" t="inlineStr">
        <is>
          <t>Название</t>
        </is>
      </c>
      <c r="B37" s="306" t="inlineStr">
        <is>
          <t>Ингредиент</t>
        </is>
      </c>
      <c r="C37" s="306" t="inlineStr">
        <is>
          <t>Кол-во</t>
        </is>
      </c>
      <c r="D37" s="306" t="inlineStr">
        <is>
          <t>Гарнир</t>
        </is>
      </c>
      <c r="E37" s="306" t="inlineStr">
        <is>
          <t>Посуда</t>
        </is>
      </c>
      <c r="F37" s="306" t="inlineStr">
        <is>
          <t>Метод</t>
        </is>
      </c>
    </row>
    <row r="38">
      <c r="A38" s="369" t="inlineStr">
        <is>
          <t>Air Mail</t>
        </is>
      </c>
      <c r="B38" s="421" t="inlineStr">
        <is>
          <t>Plantation 3 star ( ром )</t>
        </is>
      </c>
      <c r="C38" s="307" t="n">
        <v>40</v>
      </c>
      <c r="D38" s="307" t="inlineStr">
        <is>
          <t>Мята 5 грм</t>
        </is>
      </c>
      <c r="E38" s="307" t="inlineStr">
        <is>
          <t>Хайболл</t>
        </is>
      </c>
      <c r="F38" s="307" t="inlineStr">
        <is>
          <t>Шейк - Топ</t>
        </is>
      </c>
    </row>
    <row r="39">
      <c r="A39" s="301" t="n"/>
      <c r="B39" s="421" t="inlineStr">
        <is>
          <t>Сок лайма</t>
        </is>
      </c>
      <c r="C39" s="307" t="n">
        <v>20</v>
      </c>
      <c r="D39" s="303" t="n"/>
      <c r="E39" s="303" t="n"/>
      <c r="F39" s="303" t="n"/>
    </row>
    <row r="40">
      <c r="A40" s="301" t="n"/>
      <c r="B40" s="421" t="inlineStr">
        <is>
          <t>Медовый сироп</t>
        </is>
      </c>
      <c r="C40" s="307" t="n">
        <v>20</v>
      </c>
      <c r="D40" s="303" t="n"/>
      <c r="E40" s="303" t="n"/>
      <c r="F40" s="303" t="n"/>
    </row>
    <row r="41">
      <c r="A41" s="301" t="n"/>
      <c r="B41" s="421" t="inlineStr">
        <is>
          <t>Casa defra ( просекко )</t>
        </is>
      </c>
      <c r="C41" s="307" t="n">
        <v>60</v>
      </c>
      <c r="D41" s="303" t="n"/>
      <c r="E41" s="303" t="n"/>
      <c r="F41" s="303" t="n"/>
    </row>
    <row r="42">
      <c r="A42" s="305" t="inlineStr">
        <is>
          <t>Название</t>
        </is>
      </c>
      <c r="B42" s="306" t="inlineStr">
        <is>
          <t>Ингредиент</t>
        </is>
      </c>
      <c r="C42" s="306" t="inlineStr">
        <is>
          <t>Кол-во</t>
        </is>
      </c>
      <c r="D42" s="306" t="inlineStr">
        <is>
          <t>Гарнир</t>
        </is>
      </c>
      <c r="E42" s="306" t="inlineStr">
        <is>
          <t>Посуда</t>
        </is>
      </c>
      <c r="F42" s="306" t="inlineStr">
        <is>
          <t>Метод</t>
        </is>
      </c>
    </row>
    <row r="43">
      <c r="A43" s="320" t="inlineStr">
        <is>
          <t>Amaretto Sour</t>
        </is>
      </c>
      <c r="B43" s="421" t="inlineStr">
        <is>
          <t>Bols amaretto</t>
        </is>
      </c>
      <c r="C43" s="307" t="n">
        <v>60</v>
      </c>
      <c r="D43" s="307" t="inlineStr">
        <is>
          <t>Ангостура биттер</t>
        </is>
      </c>
      <c r="E43" s="307" t="inlineStr">
        <is>
          <t>Ник и Нора</t>
        </is>
      </c>
      <c r="F43" s="307" t="inlineStr">
        <is>
          <t>Шейк</t>
        </is>
      </c>
    </row>
    <row r="44">
      <c r="A44" s="301" t="n"/>
      <c r="B44" s="421" t="inlineStr">
        <is>
          <t>Сок лимона</t>
        </is>
      </c>
      <c r="C44" s="307" t="n">
        <v>20</v>
      </c>
      <c r="D44" s="321" t="inlineStr">
        <is>
          <t>2 мл</t>
        </is>
      </c>
      <c r="E44" s="303" t="n"/>
      <c r="F44" s="303" t="n"/>
    </row>
    <row r="45">
      <c r="A45" s="301" t="n"/>
      <c r="B45" s="363" t="inlineStr">
        <is>
          <t>Баблдропс</t>
        </is>
      </c>
      <c r="C45" s="383" t="n">
        <v>15</v>
      </c>
      <c r="D45" s="303" t="n"/>
      <c r="E45" s="303" t="n"/>
      <c r="F45" s="303" t="n"/>
    </row>
    <row r="46">
      <c r="A46" s="305" t="inlineStr">
        <is>
          <t>Название</t>
        </is>
      </c>
      <c r="B46" s="306" t="inlineStr">
        <is>
          <t>Ингредиент</t>
        </is>
      </c>
      <c r="C46" s="306" t="inlineStr">
        <is>
          <t>Кол-во</t>
        </is>
      </c>
      <c r="D46" s="306" t="inlineStr">
        <is>
          <t>Гарнир</t>
        </is>
      </c>
      <c r="E46" s="306" t="inlineStr">
        <is>
          <t>Посуда</t>
        </is>
      </c>
      <c r="F46" s="306" t="inlineStr">
        <is>
          <t>Метод</t>
        </is>
      </c>
    </row>
    <row r="47">
      <c r="A47" s="369" t="inlineStr">
        <is>
          <t>Bamboo</t>
        </is>
      </c>
      <c r="B47" s="421" t="inlineStr">
        <is>
          <t>Martini extra dry</t>
        </is>
      </c>
      <c r="C47" s="307" t="n">
        <v>45</v>
      </c>
      <c r="D47" s="307" t="inlineStr">
        <is>
          <t>Цедра апельсина</t>
        </is>
      </c>
      <c r="E47" s="307" t="inlineStr">
        <is>
          <t>Ник и Нора</t>
        </is>
      </c>
      <c r="F47" s="307" t="inlineStr">
        <is>
          <t>Стир</t>
        </is>
      </c>
    </row>
    <row r="48">
      <c r="A48" s="301" t="n"/>
      <c r="B48" s="421" t="inlineStr">
        <is>
          <t>Barbadillo fino</t>
        </is>
      </c>
      <c r="C48" s="307" t="n">
        <v>45</v>
      </c>
      <c r="D48" s="303" t="n"/>
      <c r="E48" s="303" t="n"/>
      <c r="F48" s="303" t="n"/>
    </row>
    <row r="49">
      <c r="A49" s="301" t="n"/>
      <c r="B49" s="421" t="inlineStr">
        <is>
          <t>Angostura bitter</t>
        </is>
      </c>
      <c r="C49" s="307" t="n">
        <v>1</v>
      </c>
      <c r="D49" s="303" t="n"/>
      <c r="E49" s="303" t="n"/>
      <c r="F49" s="303" t="n"/>
    </row>
    <row r="50">
      <c r="A50" s="301" t="n"/>
      <c r="B50" s="421" t="inlineStr">
        <is>
          <t>Angostura orange bitter</t>
        </is>
      </c>
      <c r="C50" s="307" t="n">
        <v>1</v>
      </c>
      <c r="D50" s="303" t="n"/>
      <c r="E50" s="303" t="n"/>
      <c r="F50" s="303" t="n"/>
    </row>
    <row r="51">
      <c r="A51" s="305" t="inlineStr">
        <is>
          <t>Название</t>
        </is>
      </c>
      <c r="B51" s="306" t="inlineStr">
        <is>
          <t>Ингредиент</t>
        </is>
      </c>
      <c r="C51" s="306" t="inlineStr">
        <is>
          <t>Кол-во</t>
        </is>
      </c>
      <c r="D51" s="306" t="inlineStr">
        <is>
          <t>Гарнир</t>
        </is>
      </c>
      <c r="E51" s="306" t="inlineStr">
        <is>
          <t>Посуда</t>
        </is>
      </c>
      <c r="F51" s="306" t="inlineStr">
        <is>
          <t>Метод</t>
        </is>
      </c>
    </row>
    <row r="52">
      <c r="A52" s="369" t="inlineStr">
        <is>
          <t>Bellini</t>
        </is>
      </c>
      <c r="B52" s="421" t="inlineStr">
        <is>
          <t>Casa defra ( просекко )</t>
        </is>
      </c>
      <c r="C52" s="307" t="n">
        <v>100</v>
      </c>
      <c r="D52" s="307" t="inlineStr">
        <is>
          <t>пил персик</t>
        </is>
      </c>
      <c r="E52" s="307" t="inlineStr">
        <is>
          <t>Купе</t>
        </is>
      </c>
      <c r="F52" s="307" t="inlineStr">
        <is>
          <t>Блендер</t>
        </is>
      </c>
    </row>
    <row r="53">
      <c r="A53" s="301" t="n"/>
      <c r="B53" s="421" t="inlineStr">
        <is>
          <t>Bols Peach ( персик )</t>
        </is>
      </c>
      <c r="C53" s="307" t="n">
        <v>15</v>
      </c>
      <c r="D53" s="303" t="n"/>
      <c r="E53" s="303" t="n"/>
      <c r="F53" s="303" t="n"/>
    </row>
    <row r="54">
      <c r="A54" s="301" t="n"/>
      <c r="B54" s="421" t="inlineStr">
        <is>
          <t>Персик консервированный</t>
        </is>
      </c>
      <c r="C54" s="307" t="n">
        <v>50</v>
      </c>
      <c r="D54" s="307" t="n"/>
      <c r="E54" s="303" t="n"/>
      <c r="F54" s="303" t="n"/>
    </row>
    <row r="55">
      <c r="A55" s="301" t="n"/>
      <c r="B55" s="421" t="inlineStr">
        <is>
          <t>Сироп сахар</t>
        </is>
      </c>
      <c r="C55" s="307" t="n">
        <v>10</v>
      </c>
      <c r="D55" s="303" t="n"/>
      <c r="E55" s="303" t="n"/>
      <c r="F55" s="303" t="n"/>
    </row>
    <row r="56">
      <c r="A56" s="305" t="inlineStr">
        <is>
          <t>Название</t>
        </is>
      </c>
      <c r="B56" s="306" t="inlineStr">
        <is>
          <t>Ингредиент</t>
        </is>
      </c>
      <c r="C56" s="306" t="inlineStr">
        <is>
          <t>Кол-во</t>
        </is>
      </c>
      <c r="D56" s="306" t="inlineStr">
        <is>
          <t>Гарнир</t>
        </is>
      </c>
      <c r="E56" s="306" t="inlineStr">
        <is>
          <t>Посуда</t>
        </is>
      </c>
      <c r="F56" s="306" t="inlineStr">
        <is>
          <t>Метод</t>
        </is>
      </c>
    </row>
    <row r="57">
      <c r="A57" s="369" t="inlineStr">
        <is>
          <t>Between the Sheets</t>
        </is>
      </c>
      <c r="B57" s="421" t="inlineStr">
        <is>
          <t>Plantation 3 star ( ром )</t>
        </is>
      </c>
      <c r="C57" s="307" t="n">
        <v>30</v>
      </c>
      <c r="D57" s="307" t="inlineStr">
        <is>
          <t>Цедра лимона</t>
        </is>
      </c>
      <c r="E57" s="307" t="inlineStr">
        <is>
          <t>Ник и Нора</t>
        </is>
      </c>
      <c r="F57" s="307" t="inlineStr">
        <is>
          <t>Шейк</t>
        </is>
      </c>
    </row>
    <row r="58">
      <c r="A58" s="301" t="n"/>
      <c r="B58" s="421" t="inlineStr">
        <is>
          <t>Martell VS ( коньяк )</t>
        </is>
      </c>
      <c r="C58" s="307" t="n">
        <v>30</v>
      </c>
      <c r="D58" s="303" t="n"/>
      <c r="E58" s="303" t="n"/>
      <c r="F58" s="303" t="n"/>
    </row>
    <row r="59">
      <c r="A59" s="301" t="n"/>
      <c r="B59" s="421" t="inlineStr">
        <is>
          <t>Cointreau</t>
        </is>
      </c>
      <c r="C59" s="307" t="n">
        <v>30</v>
      </c>
      <c r="D59" s="303" t="n"/>
      <c r="E59" s="303" t="n"/>
      <c r="F59" s="303" t="n"/>
    </row>
    <row r="60">
      <c r="A60" s="301" t="n"/>
      <c r="B60" s="421" t="inlineStr">
        <is>
          <t>Сок лимона</t>
        </is>
      </c>
      <c r="C60" s="307" t="n">
        <v>15</v>
      </c>
      <c r="D60" s="303" t="n"/>
      <c r="E60" s="303" t="n"/>
      <c r="F60" s="303" t="n"/>
    </row>
    <row r="61">
      <c r="A61" s="305" t="inlineStr">
        <is>
          <t>Название</t>
        </is>
      </c>
      <c r="B61" s="306" t="inlineStr">
        <is>
          <t>Ингредиент</t>
        </is>
      </c>
      <c r="C61" s="306" t="inlineStr">
        <is>
          <t>Кол-во</t>
        </is>
      </c>
      <c r="D61" s="306" t="inlineStr">
        <is>
          <t>Гарнир</t>
        </is>
      </c>
      <c r="E61" s="306" t="inlineStr">
        <is>
          <t>Посуда</t>
        </is>
      </c>
      <c r="F61" s="306" t="inlineStr">
        <is>
          <t>Метод</t>
        </is>
      </c>
    </row>
    <row r="62">
      <c r="A62" s="369" t="inlineStr">
        <is>
          <t>Bijou</t>
        </is>
      </c>
      <c r="B62" s="421" t="inlineStr">
        <is>
          <t>Martini rosso</t>
        </is>
      </c>
      <c r="C62" s="307" t="n">
        <v>30</v>
      </c>
      <c r="D62" s="307" t="inlineStr">
        <is>
          <t>Цедра апельсина</t>
        </is>
      </c>
      <c r="E62" s="307" t="inlineStr">
        <is>
          <t>Ник и Нора</t>
        </is>
      </c>
      <c r="F62" s="307" t="inlineStr">
        <is>
          <t>Стир</t>
        </is>
      </c>
    </row>
    <row r="63">
      <c r="A63" s="301" t="n"/>
      <c r="B63" s="296" t="inlineStr">
        <is>
          <t>Bosford ( джин )</t>
        </is>
      </c>
      <c r="C63" s="307" t="n">
        <v>30</v>
      </c>
      <c r="D63" s="303" t="n"/>
      <c r="E63" s="303" t="n"/>
      <c r="F63" s="303" t="n"/>
    </row>
    <row r="64">
      <c r="A64" s="301" t="n"/>
      <c r="B64" s="421" t="inlineStr">
        <is>
          <t>Chartreuse</t>
        </is>
      </c>
      <c r="C64" s="307" t="n">
        <v>30</v>
      </c>
      <c r="D64" s="303" t="n"/>
      <c r="E64" s="303" t="n"/>
      <c r="F64" s="303" t="n"/>
    </row>
    <row r="65">
      <c r="A65" s="305" t="inlineStr">
        <is>
          <t>Название</t>
        </is>
      </c>
      <c r="B65" s="306" t="inlineStr">
        <is>
          <t>Ингредиент</t>
        </is>
      </c>
      <c r="C65" s="306" t="inlineStr">
        <is>
          <t>Кол-во</t>
        </is>
      </c>
      <c r="D65" s="306" t="inlineStr">
        <is>
          <t>Гарнир</t>
        </is>
      </c>
      <c r="E65" s="306" t="inlineStr">
        <is>
          <t>Посуда</t>
        </is>
      </c>
      <c r="F65" s="306" t="inlineStr">
        <is>
          <t>Метод</t>
        </is>
      </c>
    </row>
    <row r="66">
      <c r="A66" s="369" t="inlineStr">
        <is>
          <t>Black Russian</t>
        </is>
      </c>
      <c r="B66" s="421" t="inlineStr">
        <is>
          <t>Kalua</t>
        </is>
      </c>
      <c r="C66" s="307" t="n">
        <v>45</v>
      </c>
      <c r="D66" s="307" t="inlineStr">
        <is>
          <t>н/а</t>
        </is>
      </c>
      <c r="E66" s="307" t="inlineStr">
        <is>
          <t>Рокс</t>
        </is>
      </c>
      <c r="F66" s="307" t="inlineStr">
        <is>
          <t>Билд</t>
        </is>
      </c>
    </row>
    <row r="67">
      <c r="A67" s="301" t="n"/>
      <c r="B67" s="421" t="inlineStr">
        <is>
          <t>Beluga nobel</t>
        </is>
      </c>
      <c r="C67" s="307" t="n">
        <v>45</v>
      </c>
      <c r="D67" s="303" t="n"/>
      <c r="E67" s="303" t="n"/>
      <c r="F67" s="303" t="n"/>
    </row>
    <row r="68">
      <c r="A68" s="305" t="inlineStr">
        <is>
          <t>Название</t>
        </is>
      </c>
      <c r="B68" s="306" t="inlineStr">
        <is>
          <t>Ингредиент</t>
        </is>
      </c>
      <c r="C68" s="306" t="inlineStr">
        <is>
          <t>Кол-во</t>
        </is>
      </c>
      <c r="D68" s="306" t="inlineStr">
        <is>
          <t>Гарнир</t>
        </is>
      </c>
      <c r="E68" s="306" t="inlineStr">
        <is>
          <t>Посуда</t>
        </is>
      </c>
      <c r="F68" s="306" t="inlineStr">
        <is>
          <t>Метод</t>
        </is>
      </c>
    </row>
    <row r="69">
      <c r="A69" s="369" t="inlineStr">
        <is>
          <t>Blood and Sand</t>
        </is>
      </c>
      <c r="B69" s="421" t="inlineStr">
        <is>
          <t>Dewar's white lable</t>
        </is>
      </c>
      <c r="C69" s="307" t="n">
        <v>25</v>
      </c>
      <c r="D69" s="307" t="inlineStr">
        <is>
          <t>Цедра апельсина</t>
        </is>
      </c>
      <c r="E69" s="307" t="inlineStr">
        <is>
          <t>Ник и Нора</t>
        </is>
      </c>
      <c r="F69" s="307" t="inlineStr">
        <is>
          <t>Шейк</t>
        </is>
      </c>
    </row>
    <row r="70">
      <c r="A70" s="301" t="n"/>
      <c r="B70" s="421" t="inlineStr">
        <is>
          <t>Bols cherry brandy</t>
        </is>
      </c>
      <c r="C70" s="307" t="n">
        <v>25</v>
      </c>
      <c r="D70" s="303" t="n"/>
      <c r="E70" s="303" t="n"/>
      <c r="F70" s="303" t="n"/>
    </row>
    <row r="71">
      <c r="A71" s="301" t="n"/>
      <c r="B71" s="421" t="inlineStr">
        <is>
          <t>Martini rosso</t>
        </is>
      </c>
      <c r="C71" s="307" t="n">
        <v>25</v>
      </c>
      <c r="D71" s="310" t="n"/>
      <c r="E71" s="303" t="n"/>
      <c r="F71" s="303" t="n"/>
    </row>
    <row r="72">
      <c r="A72" s="301" t="n"/>
      <c r="B72" s="421" t="inlineStr">
        <is>
          <t>Апельсин фреш</t>
        </is>
      </c>
      <c r="C72" s="307" t="n">
        <v>25</v>
      </c>
      <c r="D72" s="303" t="n"/>
      <c r="E72" s="303" t="n"/>
      <c r="F72" s="303" t="n"/>
    </row>
    <row r="73">
      <c r="A73" s="305" t="inlineStr">
        <is>
          <t>Название</t>
        </is>
      </c>
      <c r="B73" s="306" t="inlineStr">
        <is>
          <t>Ингредиент</t>
        </is>
      </c>
      <c r="C73" s="306" t="inlineStr">
        <is>
          <t>Кол-во</t>
        </is>
      </c>
      <c r="D73" s="306" t="inlineStr">
        <is>
          <t>Гарнир</t>
        </is>
      </c>
      <c r="E73" s="306" t="inlineStr">
        <is>
          <t>Посуда</t>
        </is>
      </c>
      <c r="F73" s="306" t="inlineStr">
        <is>
          <t>Метод</t>
        </is>
      </c>
    </row>
    <row r="74">
      <c r="A74" s="369" t="inlineStr">
        <is>
          <t>Bloody Mary</t>
        </is>
      </c>
      <c r="B74" s="421" t="inlineStr">
        <is>
          <t>Rich сок 0,25 ( томат )</t>
        </is>
      </c>
      <c r="C74" s="307" t="inlineStr">
        <is>
          <t>1шт</t>
        </is>
      </c>
      <c r="D74" s="307" t="inlineStr">
        <is>
          <t>Оливки/Слайс огурца</t>
        </is>
      </c>
      <c r="E74" s="307" t="inlineStr">
        <is>
          <t>Хайболл</t>
        </is>
      </c>
      <c r="F74" s="307" t="inlineStr">
        <is>
          <t>Кубан ролл / Фроулинг</t>
        </is>
      </c>
    </row>
    <row r="75">
      <c r="A75" s="301" t="n"/>
      <c r="B75" s="421" t="inlineStr">
        <is>
          <t>Tundra ( vodka )</t>
        </is>
      </c>
      <c r="C75" s="307" t="n">
        <v>50</v>
      </c>
      <c r="D75" s="321" t="inlineStr">
        <is>
          <t>5/10 грм</t>
        </is>
      </c>
      <c r="E75" s="303" t="n"/>
      <c r="F75" s="303" t="n"/>
    </row>
    <row r="76">
      <c r="A76" s="301" t="n"/>
      <c r="B76" s="421" t="inlineStr">
        <is>
          <t>Сок лимона</t>
        </is>
      </c>
      <c r="C76" s="307" t="n">
        <v>15</v>
      </c>
      <c r="D76" s="303" t="n"/>
      <c r="E76" s="303" t="n"/>
      <c r="F76" s="303" t="n"/>
    </row>
    <row r="77">
      <c r="A77" s="301" t="n"/>
      <c r="B77" s="421" t="inlineStr">
        <is>
          <t>Сироп мёд</t>
        </is>
      </c>
      <c r="C77" s="307" t="n">
        <v>10</v>
      </c>
      <c r="D77" s="303" t="n"/>
      <c r="E77" s="303" t="n"/>
      <c r="F77" s="303" t="n"/>
    </row>
    <row r="78">
      <c r="A78" s="301" t="n"/>
      <c r="B78" s="421" t="inlineStr">
        <is>
          <t>Тобаско</t>
        </is>
      </c>
      <c r="C78" s="307" t="n">
        <v>2</v>
      </c>
      <c r="D78" s="303" t="n"/>
      <c r="E78" s="303" t="n"/>
      <c r="F78" s="303" t="n"/>
    </row>
    <row r="79">
      <c r="A79" s="301" t="n"/>
      <c r="B79" s="421" t="inlineStr">
        <is>
          <t>Ворчестер</t>
        </is>
      </c>
      <c r="C79" s="307" t="n">
        <v>6</v>
      </c>
      <c r="D79" s="303" t="n"/>
      <c r="E79" s="303" t="n"/>
      <c r="F79" s="303" t="n"/>
    </row>
    <row r="80">
      <c r="A80" s="301" t="n"/>
      <c r="B80" s="421" t="inlineStr">
        <is>
          <t>Соль</t>
        </is>
      </c>
      <c r="C80" s="307" t="n">
        <v>3</v>
      </c>
      <c r="D80" s="303" t="n"/>
      <c r="E80" s="303" t="n"/>
      <c r="F80" s="303" t="n"/>
    </row>
    <row r="81">
      <c r="A81" s="301" t="n"/>
      <c r="B81" s="421" t="inlineStr">
        <is>
          <t>Оливки</t>
        </is>
      </c>
      <c r="C81" s="307" t="inlineStr">
        <is>
          <t>10-20 грм</t>
        </is>
      </c>
      <c r="D81" s="303" t="n"/>
      <c r="E81" s="303" t="n"/>
      <c r="F81" s="303" t="n"/>
    </row>
    <row r="82">
      <c r="A82" s="305" t="inlineStr">
        <is>
          <t>Название</t>
        </is>
      </c>
      <c r="B82" s="306" t="inlineStr">
        <is>
          <t>Ингредиент</t>
        </is>
      </c>
      <c r="C82" s="306" t="inlineStr">
        <is>
          <t>Кол-во</t>
        </is>
      </c>
      <c r="D82" s="306" t="inlineStr">
        <is>
          <t>Гарнир</t>
        </is>
      </c>
      <c r="E82" s="306" t="inlineStr">
        <is>
          <t>Посуда</t>
        </is>
      </c>
      <c r="F82" s="306" t="inlineStr">
        <is>
          <t>Метод</t>
        </is>
      </c>
    </row>
    <row r="83">
      <c r="A83" s="369" t="inlineStr">
        <is>
          <t>Bobby Burns</t>
        </is>
      </c>
      <c r="B83" s="421" t="inlineStr">
        <is>
          <t>Dewar's white lable</t>
        </is>
      </c>
      <c r="C83" s="307" t="n">
        <v>50</v>
      </c>
      <c r="D83" s="307" t="inlineStr">
        <is>
          <t>Цедра апельсина</t>
        </is>
      </c>
      <c r="E83" s="307" t="inlineStr">
        <is>
          <t>Ник и Нора</t>
        </is>
      </c>
      <c r="F83" s="307" t="inlineStr">
        <is>
          <t>Стир</t>
        </is>
      </c>
    </row>
    <row r="84">
      <c r="A84" s="301" t="n"/>
      <c r="B84" s="421" t="inlineStr">
        <is>
          <t>Martini rosso</t>
        </is>
      </c>
      <c r="C84" s="307" t="n">
        <v>20</v>
      </c>
      <c r="D84" s="303" t="n"/>
      <c r="E84" s="303" t="n"/>
      <c r="F84" s="303" t="n"/>
    </row>
    <row r="85">
      <c r="A85" s="301" t="n"/>
      <c r="B85" s="421" t="inlineStr">
        <is>
          <t>Benedectine</t>
        </is>
      </c>
      <c r="C85" s="307" t="n">
        <v>10</v>
      </c>
      <c r="D85" s="303" t="n"/>
      <c r="E85" s="303" t="n"/>
      <c r="F85" s="303" t="n"/>
    </row>
    <row r="86">
      <c r="A86" s="305" t="inlineStr">
        <is>
          <t>Название</t>
        </is>
      </c>
      <c r="B86" s="306" t="inlineStr">
        <is>
          <t>Ингредиент</t>
        </is>
      </c>
      <c r="C86" s="306" t="inlineStr">
        <is>
          <t>Кол-во</t>
        </is>
      </c>
      <c r="D86" s="306" t="inlineStr">
        <is>
          <t>Гарнир</t>
        </is>
      </c>
      <c r="E86" s="306" t="inlineStr">
        <is>
          <t>Посуда</t>
        </is>
      </c>
      <c r="F86" s="306" t="inlineStr">
        <is>
          <t>Метод</t>
        </is>
      </c>
    </row>
    <row r="87">
      <c r="A87" s="369" t="inlineStr">
        <is>
          <t>Boulivardier</t>
        </is>
      </c>
      <c r="B87" s="421" t="inlineStr">
        <is>
          <t>Old Virginia ( бурбон )</t>
        </is>
      </c>
      <c r="C87" s="307" t="n">
        <v>45</v>
      </c>
      <c r="D87" s="307" t="inlineStr">
        <is>
          <t>Цедра апельсина</t>
        </is>
      </c>
      <c r="E87" s="307" t="inlineStr">
        <is>
          <t>Рокс</t>
        </is>
      </c>
      <c r="F87" s="307" t="inlineStr">
        <is>
          <t>Стир</t>
        </is>
      </c>
    </row>
    <row r="88">
      <c r="A88" s="301" t="n"/>
      <c r="B88" s="421" t="inlineStr">
        <is>
          <t>Martini rosso</t>
        </is>
      </c>
      <c r="C88" s="307" t="n">
        <v>30</v>
      </c>
      <c r="D88" s="303" t="n"/>
      <c r="E88" s="303" t="n"/>
      <c r="F88" s="303" t="n"/>
    </row>
    <row r="89">
      <c r="A89" s="301" t="n"/>
      <c r="B89" s="421" t="inlineStr">
        <is>
          <t>Campari</t>
        </is>
      </c>
      <c r="C89" s="307" t="n">
        <v>30</v>
      </c>
      <c r="D89" s="303" t="n"/>
      <c r="E89" s="303" t="n"/>
      <c r="F89" s="303" t="n"/>
    </row>
    <row r="90">
      <c r="A90" s="326" t="inlineStr">
        <is>
          <t>Название</t>
        </is>
      </c>
      <c r="B90" s="506" t="inlineStr">
        <is>
          <t>Ингридиенты</t>
        </is>
      </c>
      <c r="C90" s="506" t="inlineStr">
        <is>
          <t>кол-во</t>
        </is>
      </c>
      <c r="D90" s="506" t="inlineStr">
        <is>
          <t>Гарнир</t>
        </is>
      </c>
      <c r="E90" s="506" t="inlineStr">
        <is>
          <t>Посуда</t>
        </is>
      </c>
      <c r="F90" s="506" t="inlineStr">
        <is>
          <t>Метод</t>
        </is>
      </c>
    </row>
    <row r="91">
      <c r="A91" s="369" t="inlineStr">
        <is>
          <t>Brandy Crusta</t>
        </is>
      </c>
      <c r="B91" s="421" t="inlineStr">
        <is>
          <t>Martell VS ( коньяк )</t>
        </is>
      </c>
      <c r="C91" s="328" t="n">
        <v>40</v>
      </c>
      <c r="D91" s="328" t="inlineStr">
        <is>
          <t>Цедра лимона</t>
        </is>
      </c>
      <c r="E91" s="328" t="inlineStr">
        <is>
          <t>Ник&amp;Нора</t>
        </is>
      </c>
      <c r="F91" s="328" t="inlineStr">
        <is>
          <t>Шейк</t>
        </is>
      </c>
    </row>
    <row r="92">
      <c r="A92" s="136" t="n"/>
      <c r="B92" s="421" t="inlineStr">
        <is>
          <t>Cointreau</t>
        </is>
      </c>
      <c r="C92" s="328" t="n">
        <v>20</v>
      </c>
      <c r="D92" s="329" t="n"/>
      <c r="E92" s="329" t="n"/>
      <c r="F92" s="329" t="n"/>
    </row>
    <row r="93">
      <c r="A93" s="136" t="n"/>
      <c r="B93" s="421" t="inlineStr">
        <is>
          <t>Bols maraschino</t>
        </is>
      </c>
      <c r="C93" s="328" t="n">
        <v>10</v>
      </c>
      <c r="D93" s="329" t="n"/>
      <c r="E93" s="329" t="n"/>
      <c r="F93" s="329" t="n"/>
    </row>
    <row r="94">
      <c r="A94" s="136" t="n"/>
      <c r="B94" s="421" t="inlineStr">
        <is>
          <t>Фреш лимон</t>
        </is>
      </c>
      <c r="C94" s="328" t="n">
        <v>20</v>
      </c>
      <c r="D94" s="329" t="n"/>
      <c r="E94" s="329" t="n"/>
      <c r="F94" s="329" t="n"/>
    </row>
    <row r="95">
      <c r="A95" s="136" t="n"/>
      <c r="B95" s="421" t="inlineStr">
        <is>
          <t>Angostura orange bitter</t>
        </is>
      </c>
      <c r="C95" s="328" t="n">
        <v>2</v>
      </c>
      <c r="D95" s="329" t="n"/>
      <c r="E95" s="329" t="n"/>
      <c r="F95" s="329" t="n"/>
    </row>
    <row r="96">
      <c r="A96" s="305" t="inlineStr">
        <is>
          <t>Название</t>
        </is>
      </c>
      <c r="B96" s="306" t="inlineStr">
        <is>
          <t>Ингредиент</t>
        </is>
      </c>
      <c r="C96" s="306" t="inlineStr">
        <is>
          <t>Кол-во</t>
        </is>
      </c>
      <c r="D96" s="306" t="inlineStr">
        <is>
          <t>Гарнир</t>
        </is>
      </c>
      <c r="E96" s="306" t="inlineStr">
        <is>
          <t>Посуда</t>
        </is>
      </c>
      <c r="F96" s="306" t="inlineStr">
        <is>
          <t>Метод</t>
        </is>
      </c>
    </row>
    <row r="97">
      <c r="A97" s="369" t="inlineStr">
        <is>
          <t>Brambl</t>
        </is>
      </c>
      <c r="B97" s="296" t="inlineStr">
        <is>
          <t>Bosford ( джин )</t>
        </is>
      </c>
      <c r="C97" s="307" t="n">
        <v>40</v>
      </c>
      <c r="D97" s="307" t="inlineStr">
        <is>
          <t>Цедра лимона</t>
        </is>
      </c>
      <c r="E97" s="307" t="inlineStr">
        <is>
          <t>Рокс</t>
        </is>
      </c>
      <c r="F97" s="307" t="inlineStr">
        <is>
          <t>Шейк - Топ</t>
        </is>
      </c>
    </row>
    <row r="98">
      <c r="A98" s="301" t="n"/>
      <c r="B98" s="421" t="inlineStr">
        <is>
          <t>Сок лимона</t>
        </is>
      </c>
      <c r="C98" s="307" t="n">
        <v>20</v>
      </c>
      <c r="D98" s="303" t="n"/>
      <c r="E98" s="303" t="n"/>
      <c r="F98" s="303" t="n"/>
    </row>
    <row r="99">
      <c r="A99" s="301" t="n"/>
      <c r="B99" s="421" t="inlineStr">
        <is>
          <t>Сироп сахар</t>
        </is>
      </c>
      <c r="C99" s="307" t="n">
        <v>15</v>
      </c>
      <c r="D99" s="303" t="n"/>
      <c r="E99" s="303" t="n"/>
      <c r="F99" s="303" t="n"/>
    </row>
    <row r="100">
      <c r="A100" s="301" t="n"/>
      <c r="B100" s="421" t="inlineStr">
        <is>
          <t>Bols cream de Mure</t>
        </is>
      </c>
      <c r="C100" s="307" t="n">
        <v>15</v>
      </c>
      <c r="D100" s="303" t="n"/>
      <c r="E100" s="303" t="n"/>
      <c r="F100" s="303" t="n"/>
    </row>
    <row r="101">
      <c r="A101" s="305" t="inlineStr">
        <is>
          <t>Название</t>
        </is>
      </c>
      <c r="B101" s="306" t="inlineStr">
        <is>
          <t>Ингредиент</t>
        </is>
      </c>
      <c r="C101" s="306" t="inlineStr">
        <is>
          <t>Кол-во</t>
        </is>
      </c>
      <c r="D101" s="306" t="inlineStr">
        <is>
          <t>Гарнир</t>
        </is>
      </c>
      <c r="E101" s="306" t="inlineStr">
        <is>
          <t>Посуда</t>
        </is>
      </c>
      <c r="F101" s="306" t="inlineStr">
        <is>
          <t>Метод</t>
        </is>
      </c>
    </row>
    <row r="102">
      <c r="A102" s="369" t="inlineStr">
        <is>
          <t>Bronx</t>
        </is>
      </c>
      <c r="B102" s="296" t="inlineStr">
        <is>
          <t>Bosford ( джин )</t>
        </is>
      </c>
      <c r="C102" s="307" t="n">
        <v>40</v>
      </c>
      <c r="D102" s="307" t="inlineStr">
        <is>
          <t>Цедра пельсина</t>
        </is>
      </c>
      <c r="E102" s="307" t="inlineStr">
        <is>
          <t>Ник и Нора</t>
        </is>
      </c>
      <c r="F102" s="307" t="inlineStr">
        <is>
          <t>Шейк</t>
        </is>
      </c>
    </row>
    <row r="103">
      <c r="A103" s="301" t="n"/>
      <c r="B103" s="421" t="inlineStr">
        <is>
          <t>Martini rosso</t>
        </is>
      </c>
      <c r="C103" s="307" t="n">
        <v>25</v>
      </c>
      <c r="D103" s="303" t="n"/>
      <c r="E103" s="303" t="n"/>
      <c r="F103" s="303" t="n"/>
    </row>
    <row r="104">
      <c r="A104" s="301" t="n"/>
      <c r="B104" s="421" t="inlineStr">
        <is>
          <t>Martini extra dry</t>
        </is>
      </c>
      <c r="C104" s="307" t="n">
        <v>25</v>
      </c>
      <c r="D104" s="303" t="n"/>
      <c r="E104" s="303" t="n"/>
      <c r="F104" s="303" t="n"/>
    </row>
    <row r="105">
      <c r="A105" s="301" t="n"/>
      <c r="B105" s="421" t="inlineStr">
        <is>
          <t>Апельсин фреш</t>
        </is>
      </c>
      <c r="C105" s="307" t="n">
        <v>25</v>
      </c>
      <c r="D105" s="303" t="n"/>
      <c r="E105" s="303" t="n"/>
      <c r="F105" s="303" t="n"/>
    </row>
    <row r="106">
      <c r="A106" s="305" t="inlineStr">
        <is>
          <t>Название</t>
        </is>
      </c>
      <c r="B106" s="306" t="inlineStr">
        <is>
          <t>Ингредиент</t>
        </is>
      </c>
      <c r="C106" s="306" t="inlineStr">
        <is>
          <t>Кол-во</t>
        </is>
      </c>
      <c r="D106" s="306" t="inlineStr">
        <is>
          <t>Гарнир</t>
        </is>
      </c>
      <c r="E106" s="306" t="inlineStr">
        <is>
          <t>Посуда</t>
        </is>
      </c>
      <c r="F106" s="306" t="inlineStr">
        <is>
          <t>Метод</t>
        </is>
      </c>
    </row>
    <row r="107">
      <c r="A107" s="369" t="inlineStr">
        <is>
          <t>Brooklyn</t>
        </is>
      </c>
      <c r="B107" s="421" t="inlineStr">
        <is>
          <t>Old Virginia ( бурбон )</t>
        </is>
      </c>
      <c r="C107" s="307" t="n">
        <v>45</v>
      </c>
      <c r="D107" s="307" t="inlineStr">
        <is>
          <t>Цедра лимона</t>
        </is>
      </c>
      <c r="E107" s="307" t="inlineStr">
        <is>
          <t>Ник и Нора</t>
        </is>
      </c>
      <c r="F107" s="307" t="inlineStr">
        <is>
          <t>Стир</t>
        </is>
      </c>
    </row>
    <row r="108">
      <c r="A108" s="301" t="n"/>
      <c r="B108" s="421" t="inlineStr">
        <is>
          <t>Martini rosso</t>
        </is>
      </c>
      <c r="C108" s="307" t="n">
        <v>15</v>
      </c>
      <c r="D108" s="303" t="n"/>
      <c r="E108" s="303" t="n"/>
      <c r="F108" s="303" t="n"/>
    </row>
    <row r="109">
      <c r="A109" s="301" t="n"/>
      <c r="B109" s="421" t="inlineStr">
        <is>
          <t>Noninno Amaro</t>
        </is>
      </c>
      <c r="C109" s="307" t="n">
        <v>3</v>
      </c>
      <c r="D109" s="303" t="n"/>
      <c r="E109" s="303" t="n"/>
      <c r="F109" s="303" t="n"/>
    </row>
    <row r="110">
      <c r="A110" s="301" t="n"/>
      <c r="B110" s="421" t="inlineStr">
        <is>
          <t>Bols maraschino</t>
        </is>
      </c>
      <c r="C110" s="307" t="n">
        <v>3</v>
      </c>
      <c r="D110" s="303" t="n"/>
      <c r="E110" s="303" t="n"/>
      <c r="F110" s="303" t="n"/>
    </row>
    <row r="111">
      <c r="A111" s="305" t="inlineStr">
        <is>
          <t>Название</t>
        </is>
      </c>
      <c r="B111" s="306" t="inlineStr">
        <is>
          <t>Ингредиент</t>
        </is>
      </c>
      <c r="C111" s="306" t="inlineStr">
        <is>
          <t>Кол-во</t>
        </is>
      </c>
      <c r="D111" s="306" t="inlineStr">
        <is>
          <t>Гарнир</t>
        </is>
      </c>
      <c r="E111" s="306" t="inlineStr">
        <is>
          <t>Посуда</t>
        </is>
      </c>
      <c r="F111" s="306" t="inlineStr">
        <is>
          <t>Метод</t>
        </is>
      </c>
    </row>
    <row r="112">
      <c r="A112" s="320" t="inlineStr">
        <is>
          <t>Basil Smash</t>
        </is>
      </c>
      <c r="B112" s="296" t="inlineStr">
        <is>
          <t>Bosford ( джин )</t>
        </is>
      </c>
      <c r="C112" s="307" t="n">
        <v>50</v>
      </c>
      <c r="D112" s="307" t="inlineStr">
        <is>
          <t>Базилик 5 грм</t>
        </is>
      </c>
      <c r="E112" s="307" t="inlineStr">
        <is>
          <t>Рокс</t>
        </is>
      </c>
      <c r="F112" s="307" t="inlineStr">
        <is>
          <t>Шейк</t>
        </is>
      </c>
    </row>
    <row r="113">
      <c r="A113" s="301" t="n"/>
      <c r="B113" s="421" t="inlineStr">
        <is>
          <t>Базилик свеж</t>
        </is>
      </c>
      <c r="C113" s="307" t="inlineStr">
        <is>
          <t>15 грм</t>
        </is>
      </c>
      <c r="D113" s="303" t="n"/>
      <c r="E113" s="303" t="n"/>
      <c r="F113" s="303" t="n"/>
    </row>
    <row r="114">
      <c r="A114" s="301" t="n"/>
      <c r="B114" s="421" t="inlineStr">
        <is>
          <t>Сок лимона</t>
        </is>
      </c>
      <c r="C114" s="307" t="n">
        <v>25</v>
      </c>
      <c r="D114" s="336" t="n"/>
      <c r="E114" s="383" t="n"/>
      <c r="F114" s="303" t="n"/>
    </row>
    <row r="115">
      <c r="A115" s="301" t="n"/>
      <c r="B115" s="421" t="inlineStr">
        <is>
          <t>Сироп Сахар</t>
        </is>
      </c>
      <c r="C115" s="307" t="n">
        <v>20</v>
      </c>
      <c r="D115" s="310" t="n"/>
      <c r="E115" s="307" t="n"/>
      <c r="F115" s="303" t="n"/>
    </row>
    <row r="116">
      <c r="A116" s="301" t="n"/>
      <c r="B116" s="363" t="inlineStr">
        <is>
          <t>Баблдропс</t>
        </is>
      </c>
      <c r="C116" s="383" t="n">
        <v>3</v>
      </c>
      <c r="D116" s="303" t="n"/>
      <c r="E116" s="303" t="n"/>
      <c r="F116" s="303" t="n"/>
    </row>
    <row r="117">
      <c r="A117" s="305" t="inlineStr">
        <is>
          <t>Название</t>
        </is>
      </c>
      <c r="B117" s="306" t="inlineStr">
        <is>
          <t>Ингредиент</t>
        </is>
      </c>
      <c r="C117" s="306" t="inlineStr">
        <is>
          <t>Кол-во</t>
        </is>
      </c>
      <c r="D117" s="306" t="inlineStr">
        <is>
          <t>Гарнир</t>
        </is>
      </c>
      <c r="E117" s="306" t="inlineStr">
        <is>
          <t>Посуда</t>
        </is>
      </c>
      <c r="F117" s="306" t="inlineStr">
        <is>
          <t>Метод</t>
        </is>
      </c>
    </row>
    <row r="118">
      <c r="A118" s="369" t="inlineStr">
        <is>
          <t>B-52</t>
        </is>
      </c>
      <c r="B118" s="421" t="inlineStr">
        <is>
          <t>Kalua</t>
        </is>
      </c>
      <c r="C118" s="307" t="n">
        <v>15</v>
      </c>
      <c r="D118" s="307" t="inlineStr">
        <is>
          <t>н/а</t>
        </is>
      </c>
      <c r="E118" s="307" t="inlineStr">
        <is>
          <t>Шот</t>
        </is>
      </c>
      <c r="F118" s="307" t="inlineStr">
        <is>
          <t>Билд</t>
        </is>
      </c>
    </row>
    <row r="119">
      <c r="A119" s="301" t="n"/>
      <c r="B119" s="421" t="inlineStr">
        <is>
          <t>Baileys</t>
        </is>
      </c>
      <c r="C119" s="307" t="n">
        <v>15</v>
      </c>
      <c r="D119" s="303" t="n"/>
      <c r="E119" s="303" t="n"/>
      <c r="F119" s="303" t="n"/>
    </row>
    <row r="120">
      <c r="A120" s="301" t="n"/>
      <c r="B120" s="421" t="inlineStr">
        <is>
          <t>Cointreau</t>
        </is>
      </c>
      <c r="C120" s="307" t="n">
        <v>15</v>
      </c>
      <c r="D120" s="303" t="n"/>
      <c r="E120" s="303" t="n"/>
      <c r="F120" s="303" t="n"/>
    </row>
    <row r="121">
      <c r="A121" s="305" t="inlineStr">
        <is>
          <t>Название</t>
        </is>
      </c>
      <c r="B121" s="306" t="inlineStr">
        <is>
          <t>Ингредиент</t>
        </is>
      </c>
      <c r="C121" s="306" t="inlineStr">
        <is>
          <t>Кол-во</t>
        </is>
      </c>
      <c r="D121" s="306" t="inlineStr">
        <is>
          <t>Гарнир</t>
        </is>
      </c>
      <c r="E121" s="306" t="inlineStr">
        <is>
          <t>Посуда</t>
        </is>
      </c>
      <c r="F121" s="306" t="inlineStr">
        <is>
          <t>Метод</t>
        </is>
      </c>
    </row>
    <row r="122">
      <c r="A122" s="369" t="inlineStr">
        <is>
          <t>Caipirinha</t>
        </is>
      </c>
      <c r="B122" s="421" t="inlineStr">
        <is>
          <t>Cachaca</t>
        </is>
      </c>
      <c r="C122" s="307" t="n">
        <v>60</v>
      </c>
      <c r="D122" s="307" t="inlineStr">
        <is>
          <t>Лайм слайс 20 грм</t>
        </is>
      </c>
      <c r="E122" s="307" t="inlineStr">
        <is>
          <t>Рокс</t>
        </is>
      </c>
      <c r="F122" s="307" t="inlineStr">
        <is>
          <t>Билд</t>
        </is>
      </c>
    </row>
    <row r="123">
      <c r="A123" s="301" t="n"/>
      <c r="B123" s="421" t="inlineStr">
        <is>
          <t>Лайм</t>
        </is>
      </c>
      <c r="C123" s="340" t="n">
        <v>43862</v>
      </c>
      <c r="D123" s="303" t="n"/>
      <c r="E123" s="303" t="n"/>
      <c r="F123" s="303" t="n"/>
    </row>
    <row r="124">
      <c r="A124" s="301" t="n"/>
      <c r="B124" s="421" t="inlineStr">
        <is>
          <t>Сироп сахар</t>
        </is>
      </c>
      <c r="C124" s="307" t="n">
        <v>10</v>
      </c>
      <c r="D124" s="303" t="n"/>
      <c r="E124" s="303" t="n"/>
      <c r="F124" s="303" t="n"/>
    </row>
    <row r="125">
      <c r="A125" s="343" t="n"/>
      <c r="B125" s="363" t="inlineStr">
        <is>
          <t>Angostura bitter</t>
        </is>
      </c>
      <c r="C125" s="383" t="n">
        <v>3</v>
      </c>
      <c r="D125" s="346" t="n"/>
      <c r="E125" s="346" t="n"/>
      <c r="F125" s="346" t="n"/>
    </row>
    <row r="126">
      <c r="A126" s="326" t="inlineStr">
        <is>
          <t>Название</t>
        </is>
      </c>
      <c r="B126" s="506" t="inlineStr">
        <is>
          <t>Ингридиенты</t>
        </is>
      </c>
      <c r="C126" s="506" t="inlineStr">
        <is>
          <t>кол-во</t>
        </is>
      </c>
      <c r="D126" s="506" t="inlineStr">
        <is>
          <t>Гарнир</t>
        </is>
      </c>
      <c r="E126" s="506" t="inlineStr">
        <is>
          <t>Посуда</t>
        </is>
      </c>
      <c r="F126" s="506" t="inlineStr">
        <is>
          <t>Метод</t>
        </is>
      </c>
    </row>
    <row r="127">
      <c r="A127" s="369" t="inlineStr">
        <is>
          <t>Caipiroska</t>
        </is>
      </c>
      <c r="B127" s="421" t="inlineStr">
        <is>
          <t>Tundra ( vodka )</t>
        </is>
      </c>
      <c r="C127" s="328" t="n">
        <v>60</v>
      </c>
      <c r="D127" s="328" t="inlineStr">
        <is>
          <t>Лайм слайс 20 грм</t>
        </is>
      </c>
      <c r="E127" s="328" t="inlineStr">
        <is>
          <t>Рокс</t>
        </is>
      </c>
      <c r="F127" s="328" t="inlineStr">
        <is>
          <t>Билд</t>
        </is>
      </c>
    </row>
    <row r="128">
      <c r="A128" s="136" t="n"/>
      <c r="B128" s="421" t="inlineStr">
        <is>
          <t>Лайм</t>
        </is>
      </c>
      <c r="C128" s="347" t="n">
        <v>44228</v>
      </c>
      <c r="D128" s="329" t="n"/>
      <c r="E128" s="329" t="n"/>
      <c r="F128" s="329" t="n"/>
    </row>
    <row r="129">
      <c r="A129" s="136" t="n"/>
      <c r="B129" s="421" t="inlineStr">
        <is>
          <t>Сироп сахар</t>
        </is>
      </c>
      <c r="C129" s="328" t="n">
        <v>10</v>
      </c>
      <c r="D129" s="329" t="n"/>
      <c r="E129" s="329" t="n"/>
      <c r="F129" s="329" t="n"/>
    </row>
    <row r="130">
      <c r="A130" s="136" t="n"/>
      <c r="B130" s="421" t="inlineStr">
        <is>
          <t>Angostura bitter</t>
        </is>
      </c>
      <c r="C130" s="328" t="n">
        <v>3</v>
      </c>
      <c r="D130" s="329" t="n"/>
      <c r="E130" s="329" t="n"/>
      <c r="F130" s="329" t="n"/>
    </row>
    <row r="131">
      <c r="A131" s="305" t="inlineStr">
        <is>
          <t>Название</t>
        </is>
      </c>
      <c r="B131" s="306" t="inlineStr">
        <is>
          <t>Ингредиент</t>
        </is>
      </c>
      <c r="C131" s="306" t="inlineStr">
        <is>
          <t>Кол-во</t>
        </is>
      </c>
      <c r="D131" s="306" t="inlineStr">
        <is>
          <t>Гарнир</t>
        </is>
      </c>
      <c r="E131" s="306" t="inlineStr">
        <is>
          <t>Посуда</t>
        </is>
      </c>
      <c r="F131" s="306" t="inlineStr">
        <is>
          <t>Метод</t>
        </is>
      </c>
    </row>
    <row r="132">
      <c r="A132" s="369" t="inlineStr">
        <is>
          <t>Casino</t>
        </is>
      </c>
      <c r="B132" s="296" t="inlineStr">
        <is>
          <t>Bosford ( джин )</t>
        </is>
      </c>
      <c r="C132" s="307" t="n">
        <v>60</v>
      </c>
      <c r="D132" s="307" t="inlineStr">
        <is>
          <t>Вишня мараскиновая</t>
        </is>
      </c>
      <c r="E132" s="307" t="inlineStr">
        <is>
          <t>Ник и Нора</t>
        </is>
      </c>
      <c r="F132" s="307" t="inlineStr">
        <is>
          <t>Шейк</t>
        </is>
      </c>
    </row>
    <row r="133">
      <c r="A133" s="301" t="n"/>
      <c r="B133" s="421" t="inlineStr">
        <is>
          <t>Bols maraschino</t>
        </is>
      </c>
      <c r="C133" s="307" t="n">
        <v>3</v>
      </c>
      <c r="D133" s="321" t="inlineStr">
        <is>
          <t>10 грм</t>
        </is>
      </c>
      <c r="E133" s="303" t="n"/>
      <c r="F133" s="303" t="n"/>
    </row>
    <row r="134">
      <c r="A134" s="301" t="n"/>
      <c r="B134" s="421" t="inlineStr">
        <is>
          <t>Сок лимона</t>
        </is>
      </c>
      <c r="C134" s="307" t="n">
        <v>3</v>
      </c>
      <c r="D134" s="303" t="n"/>
      <c r="E134" s="303" t="n"/>
      <c r="F134" s="303" t="n"/>
    </row>
    <row r="135">
      <c r="A135" s="301" t="n"/>
      <c r="B135" s="421" t="inlineStr">
        <is>
          <t>Angostura orange bitter</t>
        </is>
      </c>
      <c r="C135" s="307" t="n">
        <v>2</v>
      </c>
      <c r="D135" s="303" t="n"/>
      <c r="E135" s="303" t="n"/>
      <c r="F135" s="303" t="n"/>
    </row>
    <row r="136">
      <c r="A136" s="326" t="inlineStr">
        <is>
          <t>Название</t>
        </is>
      </c>
      <c r="B136" s="506" t="inlineStr">
        <is>
          <t>Ингридиенты</t>
        </is>
      </c>
      <c r="C136" s="506" t="inlineStr">
        <is>
          <t>кол-во</t>
        </is>
      </c>
      <c r="D136" s="506" t="inlineStr">
        <is>
          <t>Гарнир</t>
        </is>
      </c>
      <c r="E136" s="506" t="inlineStr">
        <is>
          <t>Посуда</t>
        </is>
      </c>
      <c r="F136" s="506" t="inlineStr">
        <is>
          <t>Метод</t>
        </is>
      </c>
    </row>
    <row r="137">
      <c r="A137" s="369" t="inlineStr">
        <is>
          <t>Cindy Dollar</t>
        </is>
      </c>
      <c r="B137" s="421" t="inlineStr">
        <is>
          <t>Tundra ( vodka )</t>
        </is>
      </c>
      <c r="C137" s="328" t="n">
        <v>60</v>
      </c>
      <c r="D137" s="328" t="inlineStr">
        <is>
          <t>Маршмелоу 10 грм</t>
        </is>
      </c>
      <c r="E137" s="328" t="inlineStr">
        <is>
          <t>Шале</t>
        </is>
      </c>
      <c r="F137" s="328" t="inlineStr">
        <is>
          <t>Шейк</t>
        </is>
      </c>
    </row>
    <row r="138">
      <c r="A138" s="136" t="n"/>
      <c r="B138" s="421" t="inlineStr">
        <is>
          <t>Пюре ананас</t>
        </is>
      </c>
      <c r="C138" s="328" t="n">
        <v>35</v>
      </c>
      <c r="D138" s="329" t="n"/>
      <c r="E138" s="329" t="n"/>
      <c r="F138" s="329" t="n"/>
    </row>
    <row r="139">
      <c r="A139" s="136" t="n"/>
      <c r="B139" s="421" t="inlineStr">
        <is>
          <t>Сироп ваниль</t>
        </is>
      </c>
      <c r="C139" s="328" t="n">
        <v>20</v>
      </c>
      <c r="D139" s="329" t="n"/>
      <c r="E139" s="329" t="n"/>
      <c r="F139" s="329" t="n"/>
    </row>
    <row r="140">
      <c r="A140" s="136" t="n"/>
      <c r="B140" s="421" t="inlineStr">
        <is>
          <t>Сироп клубника</t>
        </is>
      </c>
      <c r="C140" s="328" t="n">
        <v>15</v>
      </c>
      <c r="D140" s="329" t="n"/>
      <c r="E140" s="329" t="n"/>
      <c r="F140" s="329" t="n"/>
    </row>
    <row r="141">
      <c r="A141" s="136" t="n"/>
      <c r="B141" s="421" t="inlineStr">
        <is>
          <t>Фреш лимон</t>
        </is>
      </c>
      <c r="C141" s="328" t="n">
        <v>20</v>
      </c>
      <c r="D141" s="329" t="n"/>
      <c r="E141" s="329" t="n"/>
      <c r="F141" s="329" t="n"/>
    </row>
    <row r="142">
      <c r="A142" s="305" t="inlineStr">
        <is>
          <t>Название</t>
        </is>
      </c>
      <c r="B142" s="306" t="inlineStr">
        <is>
          <t>Ингредиент</t>
        </is>
      </c>
      <c r="C142" s="306" t="inlineStr">
        <is>
          <t>Кол-во</t>
        </is>
      </c>
      <c r="D142" s="306" t="inlineStr">
        <is>
          <t>Гарнир</t>
        </is>
      </c>
      <c r="E142" s="306" t="inlineStr">
        <is>
          <t>Посуда</t>
        </is>
      </c>
      <c r="F142" s="306" t="inlineStr">
        <is>
          <t>Метод</t>
        </is>
      </c>
    </row>
    <row r="143">
      <c r="A143" s="320" t="inlineStr">
        <is>
          <t>Clover Club</t>
        </is>
      </c>
      <c r="B143" s="296" t="inlineStr">
        <is>
          <t>Bosford ( джин )</t>
        </is>
      </c>
      <c r="C143" s="307" t="n">
        <v>50</v>
      </c>
      <c r="D143" s="307" t="inlineStr">
        <is>
          <t>Малина вежая ( 30 грм )</t>
        </is>
      </c>
      <c r="E143" s="307" t="inlineStr">
        <is>
          <t>Купе</t>
        </is>
      </c>
      <c r="F143" s="307" t="inlineStr">
        <is>
          <t>Шейк</t>
        </is>
      </c>
    </row>
    <row r="144">
      <c r="A144" s="301" t="n"/>
      <c r="B144" s="421" t="inlineStr">
        <is>
          <t>Martini extra dry</t>
        </is>
      </c>
      <c r="C144" s="307" t="n">
        <v>20</v>
      </c>
      <c r="D144" s="303" t="n"/>
      <c r="E144" s="303" t="n"/>
      <c r="F144" s="303" t="n"/>
    </row>
    <row r="145">
      <c r="A145" s="301" t="n"/>
      <c r="B145" s="421" t="inlineStr">
        <is>
          <t>Сок лимона</t>
        </is>
      </c>
      <c r="C145" s="307" t="n">
        <v>25</v>
      </c>
      <c r="D145" s="303" t="n"/>
      <c r="E145" s="303" t="n"/>
      <c r="F145" s="303" t="n"/>
    </row>
    <row r="146">
      <c r="A146" s="301" t="n"/>
      <c r="B146" s="421" t="inlineStr">
        <is>
          <t>Сироп сахар</t>
        </is>
      </c>
      <c r="C146" s="307" t="n">
        <v>10</v>
      </c>
      <c r="D146" s="303" t="n"/>
      <c r="E146" s="303" t="n"/>
      <c r="F146" s="303" t="n"/>
    </row>
    <row r="147">
      <c r="A147" s="301" t="n"/>
      <c r="B147" s="421" t="inlineStr">
        <is>
          <t>Малина сироп</t>
        </is>
      </c>
      <c r="C147" s="307" t="n">
        <v>20</v>
      </c>
      <c r="D147" s="303" t="n"/>
      <c r="E147" s="303" t="n"/>
      <c r="F147" s="303" t="n"/>
    </row>
    <row r="148">
      <c r="A148" s="301" t="n"/>
      <c r="B148" s="363" t="inlineStr">
        <is>
          <t>Баблдропс</t>
        </is>
      </c>
      <c r="C148" s="383" t="n">
        <v>3</v>
      </c>
      <c r="D148" s="303" t="n"/>
      <c r="E148" s="303" t="n"/>
      <c r="F148" s="303" t="n"/>
    </row>
    <row r="149">
      <c r="A149" s="305" t="inlineStr">
        <is>
          <t>Название</t>
        </is>
      </c>
      <c r="B149" s="306" t="inlineStr">
        <is>
          <t>Ингредиент</t>
        </is>
      </c>
      <c r="C149" s="306" t="inlineStr">
        <is>
          <t>Кол-во</t>
        </is>
      </c>
      <c r="D149" s="306" t="inlineStr">
        <is>
          <t>Гарнир</t>
        </is>
      </c>
      <c r="E149" s="306" t="inlineStr">
        <is>
          <t>Посуда</t>
        </is>
      </c>
      <c r="F149" s="306" t="inlineStr">
        <is>
          <t>Метод</t>
        </is>
      </c>
    </row>
    <row r="150">
      <c r="A150" s="369" t="inlineStr">
        <is>
          <t>Corps Riviver # 1</t>
        </is>
      </c>
      <c r="B150" s="421" t="inlineStr">
        <is>
          <t>Martell VS ( коньяк )</t>
        </is>
      </c>
      <c r="C150" s="307" t="n">
        <v>50</v>
      </c>
      <c r="D150" s="307" t="inlineStr">
        <is>
          <t>Цедра лимона</t>
        </is>
      </c>
      <c r="E150" s="307" t="inlineStr">
        <is>
          <t>Ник и Нора</t>
        </is>
      </c>
      <c r="F150" s="307" t="inlineStr">
        <is>
          <t>Стир</t>
        </is>
      </c>
    </row>
    <row r="151">
      <c r="A151" s="301" t="n"/>
      <c r="B151" s="421" t="inlineStr">
        <is>
          <t>Martini rosso</t>
        </is>
      </c>
      <c r="C151" s="307" t="n">
        <v>25</v>
      </c>
      <c r="D151" s="303" t="n"/>
      <c r="E151" s="303" t="n"/>
      <c r="F151" s="303" t="n"/>
    </row>
    <row r="152">
      <c r="A152" s="301" t="n"/>
      <c r="B152" s="421" t="inlineStr">
        <is>
          <t>Calvados du Per Lez VS</t>
        </is>
      </c>
      <c r="C152" s="307" t="n">
        <v>25</v>
      </c>
      <c r="D152" s="303" t="n"/>
      <c r="E152" s="303" t="n"/>
      <c r="F152" s="303" t="n"/>
    </row>
    <row r="153">
      <c r="A153" s="305" t="inlineStr">
        <is>
          <t>Название</t>
        </is>
      </c>
      <c r="B153" s="306" t="inlineStr">
        <is>
          <t>Ингредиент</t>
        </is>
      </c>
      <c r="C153" s="306" t="inlineStr">
        <is>
          <t>Кол-во</t>
        </is>
      </c>
      <c r="D153" s="306" t="inlineStr">
        <is>
          <t>Гарнир</t>
        </is>
      </c>
      <c r="E153" s="306" t="inlineStr">
        <is>
          <t>Посуда</t>
        </is>
      </c>
      <c r="F153" s="306" t="inlineStr">
        <is>
          <t>Метод</t>
        </is>
      </c>
    </row>
    <row r="154">
      <c r="A154" s="369" t="inlineStr">
        <is>
          <t>Corps Riviver # 2</t>
        </is>
      </c>
      <c r="B154" s="296" t="inlineStr">
        <is>
          <t>Bosford ( джин )</t>
        </is>
      </c>
      <c r="C154" s="307" t="n">
        <v>30</v>
      </c>
      <c r="D154" s="307" t="inlineStr">
        <is>
          <t>Цедра лимона</t>
        </is>
      </c>
      <c r="E154" s="307" t="inlineStr">
        <is>
          <t>Ник и Нора</t>
        </is>
      </c>
      <c r="F154" s="307" t="inlineStr">
        <is>
          <t>Шейк</t>
        </is>
      </c>
    </row>
    <row r="155">
      <c r="A155" s="301" t="n"/>
      <c r="B155" s="421" t="inlineStr">
        <is>
          <t>Lillet blanc</t>
        </is>
      </c>
      <c r="C155" s="307" t="n">
        <v>30</v>
      </c>
      <c r="D155" s="303" t="n"/>
      <c r="E155" s="303" t="n"/>
      <c r="F155" s="303" t="n"/>
    </row>
    <row r="156">
      <c r="A156" s="301" t="n"/>
      <c r="B156" s="421" t="inlineStr">
        <is>
          <t>Absinthe</t>
        </is>
      </c>
      <c r="C156" s="307" t="n">
        <v>10</v>
      </c>
      <c r="D156" s="303" t="n"/>
      <c r="E156" s="303" t="n"/>
      <c r="F156" s="303" t="n"/>
    </row>
    <row r="157">
      <c r="A157" s="301" t="n"/>
      <c r="B157" s="421" t="inlineStr">
        <is>
          <t>Cointreau</t>
        </is>
      </c>
      <c r="C157" s="307" t="n">
        <v>30</v>
      </c>
      <c r="D157" s="303" t="n"/>
      <c r="E157" s="303" t="n"/>
      <c r="F157" s="303" t="n"/>
    </row>
    <row r="158">
      <c r="A158" s="301" t="n"/>
      <c r="B158" s="421" t="inlineStr">
        <is>
          <t>Сок лимона</t>
        </is>
      </c>
      <c r="C158" s="307" t="n">
        <v>30</v>
      </c>
      <c r="D158" s="303" t="n"/>
      <c r="E158" s="303" t="n"/>
      <c r="F158" s="303" t="n"/>
    </row>
    <row r="159">
      <c r="A159" s="305" t="inlineStr">
        <is>
          <t>Название</t>
        </is>
      </c>
      <c r="B159" s="306" t="inlineStr">
        <is>
          <t>Ингредиент</t>
        </is>
      </c>
      <c r="C159" s="306" t="inlineStr">
        <is>
          <t>Кол-во</t>
        </is>
      </c>
      <c r="D159" s="306" t="inlineStr">
        <is>
          <t>Гарнир</t>
        </is>
      </c>
      <c r="E159" s="306" t="inlineStr">
        <is>
          <t>Посуда</t>
        </is>
      </c>
      <c r="F159" s="306" t="inlineStr">
        <is>
          <t>Метод</t>
        </is>
      </c>
    </row>
    <row r="160">
      <c r="A160" s="369" t="inlineStr">
        <is>
          <t>Corps Riviver # 3</t>
        </is>
      </c>
      <c r="B160" s="421" t="inlineStr">
        <is>
          <t>Martell VS ( коньяк )</t>
        </is>
      </c>
      <c r="C160" s="307" t="n">
        <v>30</v>
      </c>
      <c r="D160" s="307" t="inlineStr">
        <is>
          <t>Цедра апельсина</t>
        </is>
      </c>
      <c r="E160" s="307" t="inlineStr">
        <is>
          <t>Ник и Нора</t>
        </is>
      </c>
      <c r="F160" s="307" t="inlineStr">
        <is>
          <t>Шейк</t>
        </is>
      </c>
    </row>
    <row r="161">
      <c r="A161" s="301" t="n"/>
      <c r="B161" s="421" t="inlineStr">
        <is>
          <t>Campari</t>
        </is>
      </c>
      <c r="C161" s="307" t="n">
        <v>30</v>
      </c>
      <c r="D161" s="303" t="n"/>
      <c r="E161" s="303" t="n"/>
      <c r="F161" s="303" t="n"/>
    </row>
    <row r="162">
      <c r="A162" s="301" t="n"/>
      <c r="B162" s="421" t="inlineStr">
        <is>
          <t>Cointreau</t>
        </is>
      </c>
      <c r="C162" s="307" t="n">
        <v>30</v>
      </c>
      <c r="D162" s="303" t="n"/>
      <c r="E162" s="303" t="n"/>
      <c r="F162" s="303" t="n"/>
    </row>
    <row r="163">
      <c r="A163" s="301" t="n"/>
      <c r="B163" s="421" t="inlineStr">
        <is>
          <t>Сок лимона</t>
        </is>
      </c>
      <c r="C163" s="307" t="n">
        <v>15</v>
      </c>
      <c r="D163" s="303" t="n"/>
      <c r="E163" s="303" t="n"/>
      <c r="F163" s="303" t="n"/>
    </row>
    <row r="164">
      <c r="A164" s="305" t="inlineStr">
        <is>
          <t>Название</t>
        </is>
      </c>
      <c r="B164" s="306" t="inlineStr">
        <is>
          <t>Ингредиент</t>
        </is>
      </c>
      <c r="C164" s="306" t="inlineStr">
        <is>
          <t>Кол-во</t>
        </is>
      </c>
      <c r="D164" s="306" t="inlineStr">
        <is>
          <t>Гарнир</t>
        </is>
      </c>
      <c r="E164" s="306" t="inlineStr">
        <is>
          <t>Посуда</t>
        </is>
      </c>
      <c r="F164" s="306" t="inlineStr">
        <is>
          <t>Метод</t>
        </is>
      </c>
    </row>
    <row r="165">
      <c r="A165" s="369" t="inlineStr">
        <is>
          <t>Champagne Cocktail</t>
        </is>
      </c>
      <c r="B165" s="421" t="inlineStr">
        <is>
          <t>Martell VS ( коньяк )</t>
        </is>
      </c>
      <c r="C165" s="307" t="n">
        <v>30</v>
      </c>
      <c r="D165" s="307" t="inlineStr">
        <is>
          <t>н/а</t>
        </is>
      </c>
      <c r="E165" s="307" t="inlineStr">
        <is>
          <t>Флюте</t>
        </is>
      </c>
      <c r="F165" s="307" t="inlineStr">
        <is>
          <t>Билд</t>
        </is>
      </c>
    </row>
    <row r="166">
      <c r="A166" s="301" t="n"/>
      <c r="B166" s="421" t="inlineStr">
        <is>
          <t>Casa defra ( просекко )</t>
        </is>
      </c>
      <c r="C166" s="307" t="n">
        <v>100</v>
      </c>
      <c r="D166" s="303" t="n"/>
      <c r="E166" s="303" t="n"/>
      <c r="F166" s="303" t="n"/>
    </row>
    <row r="167">
      <c r="A167" s="301" t="n"/>
      <c r="B167" s="421" t="inlineStr">
        <is>
          <t>Angostura bitter</t>
        </is>
      </c>
      <c r="C167" s="307" t="n">
        <v>5</v>
      </c>
      <c r="D167" s="303" t="n"/>
      <c r="E167" s="303" t="n"/>
      <c r="F167" s="303" t="n"/>
    </row>
    <row r="168">
      <c r="A168" s="369" t="n"/>
      <c r="B168" s="421" t="inlineStr">
        <is>
          <t>Сахар демерара кубик</t>
        </is>
      </c>
      <c r="C168" s="307" t="n">
        <v>1</v>
      </c>
      <c r="D168" s="307" t="n"/>
      <c r="E168" s="307" t="n"/>
      <c r="F168" s="307" t="n"/>
    </row>
    <row r="169">
      <c r="A169" s="305" t="inlineStr">
        <is>
          <t>Название</t>
        </is>
      </c>
      <c r="B169" s="306" t="inlineStr">
        <is>
          <t>Ингредиент</t>
        </is>
      </c>
      <c r="C169" s="306" t="inlineStr">
        <is>
          <t>Кол-во</t>
        </is>
      </c>
      <c r="D169" s="306" t="inlineStr">
        <is>
          <t>Гарнир</t>
        </is>
      </c>
      <c r="E169" s="306" t="inlineStr">
        <is>
          <t>Посуда</t>
        </is>
      </c>
      <c r="F169" s="306" t="inlineStr">
        <is>
          <t>Метод</t>
        </is>
      </c>
    </row>
    <row r="170">
      <c r="A170" s="369" t="inlineStr">
        <is>
          <t>Cosmopolitan</t>
        </is>
      </c>
      <c r="B170" s="421" t="inlineStr">
        <is>
          <t>Tundra ( vodka )</t>
        </is>
      </c>
      <c r="C170" s="307" t="n">
        <v>50</v>
      </c>
      <c r="D170" s="307" t="inlineStr">
        <is>
          <t>Цедра апельсина</t>
        </is>
      </c>
      <c r="E170" s="307" t="inlineStr">
        <is>
          <t>Купе</t>
        </is>
      </c>
      <c r="F170" s="307" t="inlineStr">
        <is>
          <t>Шейк</t>
        </is>
      </c>
    </row>
    <row r="171">
      <c r="A171" s="301" t="n"/>
      <c r="B171" s="421" t="inlineStr">
        <is>
          <t>Cointreau</t>
        </is>
      </c>
      <c r="C171" s="307" t="n">
        <v>15</v>
      </c>
      <c r="D171" s="303" t="n"/>
      <c r="E171" s="303" t="n"/>
      <c r="F171" s="303" t="n"/>
    </row>
    <row r="172">
      <c r="A172" s="301" t="n"/>
      <c r="B172" s="421" t="inlineStr">
        <is>
          <t>С/м Клюква</t>
        </is>
      </c>
      <c r="C172" s="307" t="n">
        <v>30</v>
      </c>
      <c r="D172" s="303" t="n"/>
      <c r="E172" s="303" t="n"/>
      <c r="F172" s="303" t="n"/>
    </row>
    <row r="173">
      <c r="A173" s="301" t="n"/>
      <c r="B173" s="421" t="inlineStr">
        <is>
          <t>Сироп сахар</t>
        </is>
      </c>
      <c r="C173" s="307" t="n">
        <v>5</v>
      </c>
      <c r="D173" s="303" t="n"/>
      <c r="E173" s="303" t="n"/>
      <c r="F173" s="303" t="n"/>
    </row>
    <row r="174">
      <c r="A174" s="301" t="n"/>
      <c r="B174" s="421" t="inlineStr">
        <is>
          <t>Сок лимона</t>
        </is>
      </c>
      <c r="C174" s="307" t="n">
        <v>20</v>
      </c>
      <c r="D174" s="303" t="n"/>
      <c r="E174" s="303" t="n"/>
      <c r="F174" s="303" t="n"/>
    </row>
    <row r="175">
      <c r="A175" s="305" t="inlineStr">
        <is>
          <t>Название</t>
        </is>
      </c>
      <c r="B175" s="306" t="inlineStr">
        <is>
          <t>Ингредиент</t>
        </is>
      </c>
      <c r="C175" s="306" t="inlineStr">
        <is>
          <t>Кол-во</t>
        </is>
      </c>
      <c r="D175" s="306" t="inlineStr">
        <is>
          <t>Гарнир</t>
        </is>
      </c>
      <c r="E175" s="306" t="inlineStr">
        <is>
          <t>Посуда</t>
        </is>
      </c>
      <c r="F175" s="306" t="inlineStr">
        <is>
          <t>Метод</t>
        </is>
      </c>
    </row>
    <row r="176">
      <c r="A176" s="369" t="inlineStr">
        <is>
          <t>Daiquiri</t>
        </is>
      </c>
      <c r="B176" s="421" t="inlineStr">
        <is>
          <t>Plantation 3 star ( ром )</t>
        </is>
      </c>
      <c r="C176" s="307" t="n">
        <v>60</v>
      </c>
      <c r="D176" s="307" t="inlineStr">
        <is>
          <t>Цедра лайма</t>
        </is>
      </c>
      <c r="E176" s="307" t="inlineStr">
        <is>
          <t>Ник и Нора</t>
        </is>
      </c>
      <c r="F176" s="307" t="inlineStr">
        <is>
          <t>Шейк</t>
        </is>
      </c>
    </row>
    <row r="177">
      <c r="A177" s="301" t="n"/>
      <c r="B177" s="421" t="inlineStr">
        <is>
          <t>Сок лайма</t>
        </is>
      </c>
      <c r="C177" s="307" t="n">
        <v>30</v>
      </c>
      <c r="D177" s="303" t="n"/>
      <c r="E177" s="303" t="n"/>
      <c r="F177" s="303" t="n"/>
    </row>
    <row r="178">
      <c r="A178" s="301" t="n"/>
      <c r="B178" s="421" t="inlineStr">
        <is>
          <t>Сироп сахар</t>
        </is>
      </c>
      <c r="C178" s="307" t="n">
        <v>15</v>
      </c>
      <c r="D178" s="303" t="n"/>
      <c r="E178" s="303" t="n"/>
      <c r="F178" s="303" t="n"/>
    </row>
    <row r="179">
      <c r="A179" s="305" t="inlineStr">
        <is>
          <t>Название</t>
        </is>
      </c>
      <c r="B179" s="306" t="inlineStr">
        <is>
          <t>Ингредиент</t>
        </is>
      </c>
      <c r="C179" s="306" t="inlineStr">
        <is>
          <t>Кол-во</t>
        </is>
      </c>
      <c r="D179" s="306" t="inlineStr">
        <is>
          <t>Гарнир</t>
        </is>
      </c>
      <c r="E179" s="306" t="inlineStr">
        <is>
          <t>Посуда</t>
        </is>
      </c>
      <c r="F179" s="306" t="inlineStr">
        <is>
          <t>Метод</t>
        </is>
      </c>
    </row>
    <row r="180">
      <c r="A180" s="369" t="inlineStr">
        <is>
          <t>Dark &amp; Stormy</t>
        </is>
      </c>
      <c r="B180" s="421" t="inlineStr">
        <is>
          <t>Okheart</t>
        </is>
      </c>
      <c r="C180" s="307" t="n">
        <v>60</v>
      </c>
      <c r="D180" s="307" t="inlineStr">
        <is>
          <t>Лайм слайс 20 грм</t>
        </is>
      </c>
      <c r="E180" s="307" t="inlineStr">
        <is>
          <t>Хайболл</t>
        </is>
      </c>
      <c r="F180" s="307" t="inlineStr">
        <is>
          <t>Шейк - Топ</t>
        </is>
      </c>
    </row>
    <row r="181">
      <c r="A181" s="301" t="n"/>
      <c r="B181" s="421" t="inlineStr">
        <is>
          <t>Сок лайма</t>
        </is>
      </c>
      <c r="C181" s="307" t="n">
        <v>10</v>
      </c>
      <c r="D181" s="303" t="n"/>
      <c r="E181" s="303" t="n"/>
      <c r="F181" s="303" t="n"/>
    </row>
    <row r="182">
      <c r="A182" s="301" t="n"/>
      <c r="B182" s="359" t="inlineStr">
        <is>
          <t>Rich tonic 0,33</t>
        </is>
      </c>
      <c r="C182" s="307" t="inlineStr">
        <is>
          <t>1шт</t>
        </is>
      </c>
      <c r="D182" s="303" t="n"/>
      <c r="E182" s="303" t="n"/>
      <c r="F182" s="303" t="n"/>
    </row>
    <row r="183">
      <c r="A183" s="305" t="inlineStr">
        <is>
          <t>Название</t>
        </is>
      </c>
      <c r="B183" s="306" t="inlineStr">
        <is>
          <t>Ингредиент</t>
        </is>
      </c>
      <c r="C183" s="306" t="inlineStr">
        <is>
          <t>Кол-во</t>
        </is>
      </c>
      <c r="D183" s="306" t="inlineStr">
        <is>
          <t>Гарнир</t>
        </is>
      </c>
      <c r="E183" s="306" t="inlineStr">
        <is>
          <t>Посуда</t>
        </is>
      </c>
      <c r="F183" s="306" t="inlineStr">
        <is>
          <t>Метод</t>
        </is>
      </c>
    </row>
    <row r="184">
      <c r="A184" s="369" t="inlineStr">
        <is>
          <t>Diablo</t>
        </is>
      </c>
      <c r="B184" s="421" t="inlineStr">
        <is>
          <t>Jose Cuervo silver</t>
        </is>
      </c>
      <c r="C184" s="307" t="n">
        <v>45</v>
      </c>
      <c r="D184" s="307" t="inlineStr">
        <is>
          <t>Лайм слайс 20 грм</t>
        </is>
      </c>
      <c r="E184" s="307" t="inlineStr">
        <is>
          <t>Хайболл</t>
        </is>
      </c>
      <c r="F184" s="307" t="inlineStr">
        <is>
          <t>Шейк - Топ</t>
        </is>
      </c>
    </row>
    <row r="185">
      <c r="A185" s="301" t="n"/>
      <c r="B185" s="421" t="inlineStr">
        <is>
          <t>Cartron cream de cassis</t>
        </is>
      </c>
      <c r="C185" s="307" t="n">
        <v>25</v>
      </c>
      <c r="D185" s="303" t="n"/>
      <c r="E185" s="303" t="n"/>
      <c r="F185" s="303" t="n"/>
    </row>
    <row r="186">
      <c r="A186" s="301" t="n"/>
      <c r="B186" s="421" t="inlineStr">
        <is>
          <t>Сок лайма</t>
        </is>
      </c>
      <c r="C186" s="307" t="n">
        <v>15</v>
      </c>
      <c r="D186" s="303" t="n"/>
      <c r="E186" s="303" t="n"/>
      <c r="F186" s="303" t="n"/>
    </row>
    <row r="187">
      <c r="A187" s="301" t="n"/>
      <c r="B187" s="359" t="inlineStr">
        <is>
          <t>Rich tonic 0,33</t>
        </is>
      </c>
      <c r="C187" s="307" t="inlineStr">
        <is>
          <t>1 шт</t>
        </is>
      </c>
      <c r="D187" s="303" t="n"/>
      <c r="E187" s="303" t="n"/>
      <c r="F187" s="303" t="n"/>
    </row>
    <row r="188">
      <c r="A188" s="305" t="inlineStr">
        <is>
          <t>Название</t>
        </is>
      </c>
      <c r="B188" s="306" t="inlineStr">
        <is>
          <t>Ингредиент</t>
        </is>
      </c>
      <c r="C188" s="306" t="inlineStr">
        <is>
          <t>Кол-во</t>
        </is>
      </c>
      <c r="D188" s="306" t="inlineStr">
        <is>
          <t>Гарнир</t>
        </is>
      </c>
      <c r="E188" s="306" t="inlineStr">
        <is>
          <t>Посуда</t>
        </is>
      </c>
      <c r="F188" s="306" t="inlineStr">
        <is>
          <t>Метод</t>
        </is>
      </c>
    </row>
    <row r="189">
      <c r="A189" s="369" t="inlineStr">
        <is>
          <t>Derby</t>
        </is>
      </c>
      <c r="B189" s="296" t="inlineStr">
        <is>
          <t>Bosford ( джин )</t>
        </is>
      </c>
      <c r="C189" s="307" t="n">
        <v>60</v>
      </c>
      <c r="D189" s="307" t="inlineStr">
        <is>
          <t>Мята ( бошки )</t>
        </is>
      </c>
      <c r="E189" s="307" t="inlineStr">
        <is>
          <t>Ник и Нора</t>
        </is>
      </c>
      <c r="F189" s="321" t="inlineStr">
        <is>
          <t>Свизл</t>
        </is>
      </c>
    </row>
    <row r="190">
      <c r="A190" s="369" t="n"/>
      <c r="B190" s="421" t="inlineStr">
        <is>
          <t>Мята</t>
        </is>
      </c>
      <c r="C190" s="307" t="n">
        <v>5</v>
      </c>
      <c r="D190" s="307" t="n"/>
      <c r="E190" s="307" t="n"/>
      <c r="F190" s="321" t="n"/>
    </row>
    <row r="191">
      <c r="A191" s="301" t="n"/>
      <c r="B191" s="421" t="inlineStr">
        <is>
          <t>Angostura peach bitter</t>
        </is>
      </c>
      <c r="C191" s="307" t="n">
        <v>2</v>
      </c>
      <c r="D191" s="303" t="n"/>
      <c r="E191" s="303" t="n"/>
      <c r="F191" s="303" t="n"/>
    </row>
    <row r="192">
      <c r="A192" s="305" t="inlineStr">
        <is>
          <t>Название</t>
        </is>
      </c>
      <c r="B192" s="306" t="inlineStr">
        <is>
          <t>Ингредиент</t>
        </is>
      </c>
      <c r="C192" s="306" t="inlineStr">
        <is>
          <t>Кол-во</t>
        </is>
      </c>
      <c r="D192" s="306" t="inlineStr">
        <is>
          <t>Гарнир</t>
        </is>
      </c>
      <c r="E192" s="306" t="inlineStr">
        <is>
          <t>Посуда</t>
        </is>
      </c>
      <c r="F192" s="306" t="inlineStr">
        <is>
          <t>Метод</t>
        </is>
      </c>
    </row>
    <row r="193">
      <c r="A193" s="369" t="inlineStr">
        <is>
          <t>Dry Martini</t>
        </is>
      </c>
      <c r="B193" s="421" t="inlineStr">
        <is>
          <t>Bosford ( джин ) / Beluga nobel ( водка )</t>
        </is>
      </c>
      <c r="C193" s="307" t="n">
        <v>70</v>
      </c>
      <c r="D193" s="307" t="inlineStr">
        <is>
          <t>Оливка / Цедра лимона</t>
        </is>
      </c>
      <c r="E193" s="307" t="inlineStr">
        <is>
          <t>Ник и Нора</t>
        </is>
      </c>
      <c r="F193" s="307" t="inlineStr">
        <is>
          <t>Стир</t>
        </is>
      </c>
    </row>
    <row r="194">
      <c r="A194" s="301" t="n"/>
      <c r="B194" s="421" t="inlineStr">
        <is>
          <t>Martini extra dry</t>
        </is>
      </c>
      <c r="C194" s="307" t="n">
        <v>25</v>
      </c>
      <c r="D194" s="303" t="n"/>
      <c r="E194" s="303" t="n"/>
      <c r="F194" s="303" t="n"/>
    </row>
    <row r="195">
      <c r="A195" s="301" t="n"/>
      <c r="B195" s="421" t="inlineStr">
        <is>
          <t>Angostura orange bitter</t>
        </is>
      </c>
      <c r="C195" s="307" t="n">
        <v>1</v>
      </c>
      <c r="D195" s="303" t="n"/>
      <c r="E195" s="303" t="n"/>
      <c r="F195" s="303" t="n"/>
    </row>
    <row r="196">
      <c r="A196" s="305" t="inlineStr">
        <is>
          <t>Название</t>
        </is>
      </c>
      <c r="B196" s="306" t="inlineStr">
        <is>
          <t>Ингредиент</t>
        </is>
      </c>
      <c r="C196" s="306" t="inlineStr">
        <is>
          <t>Кол-во</t>
        </is>
      </c>
      <c r="D196" s="306" t="inlineStr">
        <is>
          <t>Гарнир</t>
        </is>
      </c>
      <c r="E196" s="306" t="inlineStr">
        <is>
          <t>Посуда</t>
        </is>
      </c>
      <c r="F196" s="306" t="inlineStr">
        <is>
          <t>Метод</t>
        </is>
      </c>
    </row>
    <row r="197">
      <c r="A197" s="320" t="inlineStr">
        <is>
          <t>El Presidente</t>
        </is>
      </c>
      <c r="B197" s="421" t="inlineStr">
        <is>
          <t>Plantation 3 star ( ром )</t>
        </is>
      </c>
      <c r="C197" s="307" t="n">
        <v>45</v>
      </c>
      <c r="D197" s="307" t="inlineStr">
        <is>
          <t>Цедра апельсина</t>
        </is>
      </c>
      <c r="E197" s="307" t="inlineStr">
        <is>
          <t>Ник и Нора</t>
        </is>
      </c>
      <c r="F197" s="307" t="inlineStr">
        <is>
          <t>Стир</t>
        </is>
      </c>
    </row>
    <row r="198">
      <c r="A198" s="301" t="n"/>
      <c r="B198" s="421" t="inlineStr">
        <is>
          <t>Cointreau</t>
        </is>
      </c>
      <c r="C198" s="307" t="n">
        <v>15</v>
      </c>
      <c r="D198" s="303" t="n"/>
      <c r="E198" s="303" t="n"/>
      <c r="F198" s="303" t="n"/>
    </row>
    <row r="199">
      <c r="A199" s="301" t="n"/>
      <c r="B199" s="363" t="inlineStr">
        <is>
          <t>Martini extra dry</t>
        </is>
      </c>
      <c r="C199" s="383" t="n">
        <v>20</v>
      </c>
      <c r="D199" s="303" t="n"/>
      <c r="E199" s="303" t="n"/>
      <c r="F199" s="303" t="n"/>
    </row>
    <row r="200">
      <c r="A200" s="301" t="n"/>
      <c r="B200" s="421" t="inlineStr">
        <is>
          <t>Гренадин</t>
        </is>
      </c>
      <c r="C200" s="307" t="n">
        <v>5</v>
      </c>
      <c r="D200" s="303" t="n"/>
      <c r="E200" s="303" t="n"/>
      <c r="F200" s="303" t="n"/>
    </row>
    <row r="201">
      <c r="A201" s="305" t="inlineStr">
        <is>
          <t>Название</t>
        </is>
      </c>
      <c r="B201" s="306" t="inlineStr">
        <is>
          <t>Ингредиент</t>
        </is>
      </c>
      <c r="C201" s="306" t="inlineStr">
        <is>
          <t>Кол-во</t>
        </is>
      </c>
      <c r="D201" s="306" t="inlineStr">
        <is>
          <t>Гарнир</t>
        </is>
      </c>
      <c r="E201" s="306" t="inlineStr">
        <is>
          <t>Посуда</t>
        </is>
      </c>
      <c r="F201" s="306" t="inlineStr">
        <is>
          <t>Метод</t>
        </is>
      </c>
    </row>
    <row r="202">
      <c r="A202" s="320" t="inlineStr">
        <is>
          <t>Espresso martini</t>
        </is>
      </c>
      <c r="B202" s="421" t="inlineStr">
        <is>
          <t>Tundra ( vodka )</t>
        </is>
      </c>
      <c r="C202" s="307" t="n">
        <v>50</v>
      </c>
      <c r="D202" s="307" t="inlineStr">
        <is>
          <t>Зерна кофе 5 грм</t>
        </is>
      </c>
      <c r="E202" s="307" t="inlineStr">
        <is>
          <t>Купе</t>
        </is>
      </c>
      <c r="F202" s="307" t="inlineStr">
        <is>
          <t>Шейк</t>
        </is>
      </c>
    </row>
    <row r="203">
      <c r="A203" s="301" t="n"/>
      <c r="B203" s="421" t="inlineStr">
        <is>
          <t>Kalua</t>
        </is>
      </c>
      <c r="C203" s="307" t="n">
        <v>25</v>
      </c>
      <c r="D203" s="303" t="n"/>
      <c r="E203" s="303" t="n"/>
      <c r="F203" s="303" t="n"/>
    </row>
    <row r="204">
      <c r="A204" s="301" t="n"/>
      <c r="B204" s="421" t="inlineStr">
        <is>
          <t>Эспрессо</t>
        </is>
      </c>
      <c r="C204" s="307" t="n">
        <v>25</v>
      </c>
      <c r="D204" s="303" t="n"/>
      <c r="E204" s="303" t="n"/>
      <c r="F204" s="303" t="n"/>
    </row>
    <row r="205">
      <c r="A205" s="301" t="n"/>
      <c r="B205" s="363" t="inlineStr">
        <is>
          <t>Сироп ваниль</t>
        </is>
      </c>
      <c r="C205" s="383" t="n">
        <v>10</v>
      </c>
      <c r="D205" s="303" t="n"/>
      <c r="E205" s="303" t="n"/>
      <c r="F205" s="303" t="n"/>
    </row>
    <row r="206">
      <c r="A206" s="305" t="inlineStr">
        <is>
          <t>Название</t>
        </is>
      </c>
      <c r="B206" s="306" t="inlineStr">
        <is>
          <t>Ингредиент</t>
        </is>
      </c>
      <c r="C206" s="306" t="inlineStr">
        <is>
          <t>Кол-во</t>
        </is>
      </c>
      <c r="D206" s="306" t="inlineStr">
        <is>
          <t>Гарнир</t>
        </is>
      </c>
      <c r="E206" s="306" t="inlineStr">
        <is>
          <t>Посуда</t>
        </is>
      </c>
      <c r="F206" s="306" t="inlineStr">
        <is>
          <t>Метод</t>
        </is>
      </c>
    </row>
    <row r="207">
      <c r="A207" s="369" t="inlineStr">
        <is>
          <t>Ford</t>
        </is>
      </c>
      <c r="B207" s="296" t="inlineStr">
        <is>
          <t>Bosford ( джин )</t>
        </is>
      </c>
      <c r="C207" s="307" t="n">
        <v>30</v>
      </c>
      <c r="D207" s="307" t="inlineStr">
        <is>
          <t>Цедра апельсина</t>
        </is>
      </c>
      <c r="E207" s="307" t="inlineStr">
        <is>
          <t>Ник и Нора</t>
        </is>
      </c>
      <c r="F207" s="307" t="inlineStr">
        <is>
          <t>Стир</t>
        </is>
      </c>
    </row>
    <row r="208">
      <c r="A208" s="301" t="n"/>
      <c r="B208" s="421" t="inlineStr">
        <is>
          <t>Martini extra dry</t>
        </is>
      </c>
      <c r="C208" s="307" t="n">
        <v>30</v>
      </c>
      <c r="D208" s="303" t="n"/>
      <c r="E208" s="303" t="n"/>
      <c r="F208" s="303" t="n"/>
    </row>
    <row r="209">
      <c r="A209" s="301" t="n"/>
      <c r="B209" s="421" t="inlineStr">
        <is>
          <t>Benedictine</t>
        </is>
      </c>
      <c r="C209" s="307" t="n">
        <v>3</v>
      </c>
      <c r="D209" s="303" t="n"/>
      <c r="E209" s="303" t="n"/>
      <c r="F209" s="303" t="n"/>
    </row>
    <row r="210">
      <c r="A210" s="301" t="n"/>
      <c r="B210" s="421" t="inlineStr">
        <is>
          <t>Angostura orange bitter</t>
        </is>
      </c>
      <c r="C210" s="307" t="n">
        <v>3</v>
      </c>
      <c r="D210" s="303" t="n"/>
      <c r="E210" s="303" t="n"/>
      <c r="F210" s="303" t="n"/>
    </row>
    <row r="211">
      <c r="A211" s="305" t="inlineStr">
        <is>
          <t>Название</t>
        </is>
      </c>
      <c r="B211" s="306" t="inlineStr">
        <is>
          <t>Ингредиент</t>
        </is>
      </c>
      <c r="C211" s="306" t="inlineStr">
        <is>
          <t>Кол-во</t>
        </is>
      </c>
      <c r="D211" s="306" t="inlineStr">
        <is>
          <t>Гарнир</t>
        </is>
      </c>
      <c r="E211" s="306" t="inlineStr">
        <is>
          <t>Посуда</t>
        </is>
      </c>
      <c r="F211" s="306" t="inlineStr">
        <is>
          <t>Метод</t>
        </is>
      </c>
    </row>
    <row r="212">
      <c r="A212" s="369" t="inlineStr">
        <is>
          <t>French 75</t>
        </is>
      </c>
      <c r="B212" s="296" t="inlineStr">
        <is>
          <t>Bosford ( джин )</t>
        </is>
      </c>
      <c r="C212" s="307" t="n">
        <v>45</v>
      </c>
      <c r="D212" s="307" t="inlineStr">
        <is>
          <t>Цедра лимона</t>
        </is>
      </c>
      <c r="E212" s="307" t="inlineStr">
        <is>
          <t>Флюте</t>
        </is>
      </c>
      <c r="F212" s="307" t="inlineStr">
        <is>
          <t>Шейк - Топ</t>
        </is>
      </c>
    </row>
    <row r="213">
      <c r="A213" s="369" t="n"/>
      <c r="B213" s="421" t="inlineStr">
        <is>
          <t>Сок лимона</t>
        </is>
      </c>
      <c r="C213" s="307" t="n">
        <v>25</v>
      </c>
      <c r="D213" s="307" t="n"/>
      <c r="E213" s="307" t="n"/>
      <c r="F213" s="307" t="n"/>
    </row>
    <row r="214">
      <c r="A214" s="301" t="n"/>
      <c r="B214" s="421" t="inlineStr">
        <is>
          <t>Сироп сахар</t>
        </is>
      </c>
      <c r="C214" s="307" t="n">
        <v>10</v>
      </c>
      <c r="D214" s="303" t="n"/>
      <c r="E214" s="303" t="n"/>
      <c r="F214" s="303" t="n"/>
    </row>
    <row r="215">
      <c r="A215" s="301" t="n"/>
      <c r="B215" s="421" t="inlineStr">
        <is>
          <t>Casa defra ( просекко )</t>
        </is>
      </c>
      <c r="C215" s="307" t="n">
        <v>100</v>
      </c>
      <c r="D215" s="303" t="n"/>
      <c r="E215" s="303" t="n"/>
      <c r="F215" s="303" t="n"/>
    </row>
    <row r="216">
      <c r="A216" s="305" t="inlineStr">
        <is>
          <t>Название</t>
        </is>
      </c>
      <c r="B216" s="306" t="inlineStr">
        <is>
          <t>Ингредиент</t>
        </is>
      </c>
      <c r="C216" s="306" t="inlineStr">
        <is>
          <t>Кол-во</t>
        </is>
      </c>
      <c r="D216" s="306" t="inlineStr">
        <is>
          <t>Гарнир</t>
        </is>
      </c>
      <c r="E216" s="306" t="inlineStr">
        <is>
          <t>Посуда</t>
        </is>
      </c>
      <c r="F216" s="306" t="inlineStr">
        <is>
          <t>Метод</t>
        </is>
      </c>
    </row>
    <row r="217">
      <c r="A217" s="369" t="inlineStr">
        <is>
          <t>French Connection</t>
        </is>
      </c>
      <c r="B217" s="421" t="inlineStr">
        <is>
          <t>Martell VS ( коньяк )</t>
        </is>
      </c>
      <c r="C217" s="307" t="n">
        <v>40</v>
      </c>
      <c r="D217" s="307" t="inlineStr">
        <is>
          <t>Цедра апельсина</t>
        </is>
      </c>
      <c r="E217" s="307" t="inlineStr">
        <is>
          <t>Рокс</t>
        </is>
      </c>
      <c r="F217" s="307" t="inlineStr">
        <is>
          <t>Билд</t>
        </is>
      </c>
    </row>
    <row r="218">
      <c r="A218" s="301" t="n"/>
      <c r="B218" s="421" t="inlineStr">
        <is>
          <t>Bols amaretto</t>
        </is>
      </c>
      <c r="C218" s="307" t="n">
        <v>30</v>
      </c>
      <c r="D218" s="303" t="n"/>
      <c r="E218" s="303" t="n"/>
      <c r="F218" s="303" t="n"/>
    </row>
    <row r="219">
      <c r="A219" s="305" t="inlineStr">
        <is>
          <t>Название</t>
        </is>
      </c>
      <c r="B219" s="306" t="inlineStr">
        <is>
          <t>Ингредиент</t>
        </is>
      </c>
      <c r="C219" s="306" t="inlineStr">
        <is>
          <t>Кол-во</t>
        </is>
      </c>
      <c r="D219" s="306" t="inlineStr">
        <is>
          <t>Гарнир</t>
        </is>
      </c>
      <c r="E219" s="306" t="inlineStr">
        <is>
          <t>Посуда</t>
        </is>
      </c>
      <c r="F219" s="306" t="inlineStr">
        <is>
          <t>Метод</t>
        </is>
      </c>
    </row>
    <row r="220">
      <c r="A220" s="369" t="inlineStr">
        <is>
          <t>Gibson</t>
        </is>
      </c>
      <c r="B220" s="421" t="inlineStr">
        <is>
          <t>Bosford ( джин ) / Beluga nobel</t>
        </is>
      </c>
      <c r="C220" s="307" t="n">
        <v>70</v>
      </c>
      <c r="D220" s="307" t="inlineStr">
        <is>
          <t>Маринованный лук 10 грм</t>
        </is>
      </c>
      <c r="E220" s="307" t="inlineStr">
        <is>
          <t>Ник и Нора</t>
        </is>
      </c>
      <c r="F220" s="307" t="inlineStr">
        <is>
          <t>Стир</t>
        </is>
      </c>
    </row>
    <row r="221">
      <c r="A221" s="301" t="n"/>
      <c r="B221" s="421" t="inlineStr">
        <is>
          <t>Martini extra dry</t>
        </is>
      </c>
      <c r="C221" s="307" t="n">
        <v>25</v>
      </c>
      <c r="D221" s="303" t="n"/>
      <c r="E221" s="303" t="n"/>
      <c r="F221" s="303" t="n"/>
    </row>
    <row r="222">
      <c r="A222" s="305" t="inlineStr">
        <is>
          <t>Название</t>
        </is>
      </c>
      <c r="B222" s="306" t="inlineStr">
        <is>
          <t>Ингредиент</t>
        </is>
      </c>
      <c r="C222" s="306" t="inlineStr">
        <is>
          <t>Кол-во</t>
        </is>
      </c>
      <c r="D222" s="306" t="inlineStr">
        <is>
          <t>Гарнир</t>
        </is>
      </c>
      <c r="E222" s="306" t="inlineStr">
        <is>
          <t>Посуда</t>
        </is>
      </c>
      <c r="F222" s="306" t="inlineStr">
        <is>
          <t>Метод</t>
        </is>
      </c>
    </row>
    <row r="223">
      <c r="A223" s="369" t="inlineStr">
        <is>
          <t>Gimlet</t>
        </is>
      </c>
      <c r="B223" s="421" t="inlineStr">
        <is>
          <t>Bosford ( джин ) / Beluga nobel</t>
        </is>
      </c>
      <c r="C223" s="307" t="n">
        <v>60</v>
      </c>
      <c r="D223" s="307" t="inlineStr">
        <is>
          <t>Цедра лимона</t>
        </is>
      </c>
      <c r="E223" s="307" t="inlineStr">
        <is>
          <t>Ник и Нора</t>
        </is>
      </c>
      <c r="F223" s="307" t="inlineStr">
        <is>
          <t>Мадл - Шейк</t>
        </is>
      </c>
    </row>
    <row r="224">
      <c r="A224" s="301" t="n"/>
      <c r="B224" s="421" t="inlineStr">
        <is>
          <t>Сок лайма</t>
        </is>
      </c>
      <c r="C224" s="307" t="n">
        <v>30</v>
      </c>
      <c r="D224" s="303" t="n"/>
      <c r="E224" s="303" t="n"/>
      <c r="F224" s="303" t="n"/>
    </row>
    <row r="225">
      <c r="A225" s="301" t="n"/>
      <c r="B225" s="421" t="inlineStr">
        <is>
          <t>Сироп сахар</t>
        </is>
      </c>
      <c r="C225" s="307" t="n">
        <v>15</v>
      </c>
      <c r="D225" s="303" t="n"/>
      <c r="E225" s="303" t="n"/>
      <c r="F225" s="303" t="n"/>
    </row>
    <row r="226">
      <c r="A226" s="305" t="inlineStr">
        <is>
          <t>Название</t>
        </is>
      </c>
      <c r="B226" s="306" t="inlineStr">
        <is>
          <t>Ингредиент</t>
        </is>
      </c>
      <c r="C226" s="306" t="inlineStr">
        <is>
          <t>Кол-во</t>
        </is>
      </c>
      <c r="D226" s="306" t="inlineStr">
        <is>
          <t>Гарнир</t>
        </is>
      </c>
      <c r="E226" s="306" t="inlineStr">
        <is>
          <t>Посуда</t>
        </is>
      </c>
      <c r="F226" s="306" t="inlineStr">
        <is>
          <t>Метод</t>
        </is>
      </c>
    </row>
    <row r="227">
      <c r="A227" s="369" t="inlineStr">
        <is>
          <t>Grasshopper</t>
        </is>
      </c>
      <c r="B227" s="421" t="inlineStr">
        <is>
          <t xml:space="preserve">Bols white cacao </t>
        </is>
      </c>
      <c r="C227" s="307" t="n">
        <v>30</v>
      </c>
      <c r="D227" s="307" t="inlineStr">
        <is>
          <t>Мята ( бошки ) 5 грм</t>
        </is>
      </c>
      <c r="E227" s="307" t="inlineStr">
        <is>
          <t>Ник и Нора</t>
        </is>
      </c>
      <c r="F227" s="307" t="inlineStr">
        <is>
          <t>Шейк</t>
        </is>
      </c>
    </row>
    <row r="228">
      <c r="A228" s="301" t="n"/>
      <c r="B228" s="421" t="inlineStr">
        <is>
          <t>Bols pepper mint</t>
        </is>
      </c>
      <c r="C228" s="307" t="n">
        <v>30</v>
      </c>
      <c r="D228" s="303" t="n"/>
      <c r="E228" s="303" t="n"/>
      <c r="F228" s="303" t="n"/>
    </row>
    <row r="229">
      <c r="A229" s="301" t="n"/>
      <c r="B229" s="421" t="inlineStr">
        <is>
          <t>Сливки 11%</t>
        </is>
      </c>
      <c r="C229" s="307" t="n">
        <v>30</v>
      </c>
      <c r="D229" s="303" t="n"/>
      <c r="E229" s="303" t="n"/>
      <c r="F229" s="303" t="n"/>
    </row>
    <row r="230">
      <c r="A230" s="326" t="inlineStr">
        <is>
          <t>Название</t>
        </is>
      </c>
      <c r="B230" s="506" t="inlineStr">
        <is>
          <t>Ингридиенты</t>
        </is>
      </c>
      <c r="C230" s="506" t="inlineStr">
        <is>
          <t>Кол-во</t>
        </is>
      </c>
      <c r="D230" s="506" t="inlineStr">
        <is>
          <t>Гарнир</t>
        </is>
      </c>
      <c r="E230" s="506" t="inlineStr">
        <is>
          <t>Посуда</t>
        </is>
      </c>
      <c r="F230" s="506" t="inlineStr">
        <is>
          <t>Метод</t>
        </is>
      </c>
    </row>
    <row r="231">
      <c r="A231" s="369" t="inlineStr">
        <is>
          <t>Gin Tonic</t>
        </is>
      </c>
      <c r="B231" s="296" t="inlineStr">
        <is>
          <t>Bosford ( джин )</t>
        </is>
      </c>
      <c r="C231" s="328" t="n">
        <v>50</v>
      </c>
      <c r="D231" s="328" t="inlineStr">
        <is>
          <t>Долька лимона 20 грм</t>
        </is>
      </c>
      <c r="E231" s="328" t="inlineStr">
        <is>
          <t>Хайбол</t>
        </is>
      </c>
      <c r="F231" s="328" t="inlineStr">
        <is>
          <t>Билд</t>
        </is>
      </c>
    </row>
    <row r="232">
      <c r="A232" s="136" t="n"/>
      <c r="B232" s="421" t="inlineStr">
        <is>
          <t>Rich tonic 0,33</t>
        </is>
      </c>
      <c r="C232" s="328" t="inlineStr">
        <is>
          <t>1шт</t>
        </is>
      </c>
      <c r="D232" s="329" t="n"/>
      <c r="E232" s="329" t="n"/>
      <c r="F232" s="329" t="n"/>
    </row>
    <row r="233">
      <c r="A233" s="305" t="inlineStr">
        <is>
          <t>Название</t>
        </is>
      </c>
      <c r="B233" s="306" t="inlineStr">
        <is>
          <t>Ингредиент</t>
        </is>
      </c>
      <c r="C233" s="306" t="inlineStr">
        <is>
          <t>Кол-во</t>
        </is>
      </c>
      <c r="D233" s="306" t="inlineStr">
        <is>
          <t>Гарнир</t>
        </is>
      </c>
      <c r="E233" s="306" t="inlineStr">
        <is>
          <t>Посуда</t>
        </is>
      </c>
      <c r="F233" s="306" t="inlineStr">
        <is>
          <t>Метод</t>
        </is>
      </c>
    </row>
    <row r="234">
      <c r="A234" s="320" t="inlineStr">
        <is>
          <t>Gin Fizz</t>
        </is>
      </c>
      <c r="B234" s="296" t="inlineStr">
        <is>
          <t>Bosford ( джин )</t>
        </is>
      </c>
      <c r="C234" s="383" t="n">
        <v>50</v>
      </c>
      <c r="D234" s="307" t="inlineStr">
        <is>
          <t>Цедра лимона</t>
        </is>
      </c>
      <c r="E234" s="307" t="inlineStr">
        <is>
          <t>Хайбол</t>
        </is>
      </c>
      <c r="F234" s="307" t="inlineStr">
        <is>
          <t>Шейк - Топ</t>
        </is>
      </c>
    </row>
    <row r="235">
      <c r="A235" s="301" t="n"/>
      <c r="B235" s="421" t="inlineStr">
        <is>
          <t>Сок лимона</t>
        </is>
      </c>
      <c r="C235" s="307" t="n">
        <v>25</v>
      </c>
      <c r="D235" s="303" t="n"/>
      <c r="E235" s="303" t="n"/>
      <c r="F235" s="303" t="n"/>
    </row>
    <row r="236">
      <c r="A236" s="301" t="n"/>
      <c r="B236" s="421" t="inlineStr">
        <is>
          <t>Сироп сахар</t>
        </is>
      </c>
      <c r="C236" s="307" t="n">
        <v>10</v>
      </c>
      <c r="D236" s="303" t="n"/>
      <c r="E236" s="303" t="n"/>
      <c r="F236" s="303" t="n"/>
    </row>
    <row r="237">
      <c r="A237" s="301" t="n"/>
      <c r="B237" s="363" t="inlineStr">
        <is>
          <t>Баблдропс</t>
        </is>
      </c>
      <c r="C237" s="383" t="n">
        <v>3</v>
      </c>
      <c r="D237" s="303" t="n"/>
      <c r="E237" s="303" t="n"/>
      <c r="F237" s="303" t="n"/>
    </row>
    <row r="238">
      <c r="A238" s="301" t="n"/>
      <c r="B238" s="421" t="inlineStr">
        <is>
          <t>содовая ( Ledenev )</t>
        </is>
      </c>
      <c r="C238" s="307" t="n">
        <v>80</v>
      </c>
      <c r="D238" s="303" t="n"/>
      <c r="E238" s="303" t="n"/>
      <c r="F238" s="303" t="n"/>
    </row>
    <row r="239">
      <c r="A239" s="305" t="inlineStr">
        <is>
          <t>Название</t>
        </is>
      </c>
      <c r="B239" s="306" t="inlineStr">
        <is>
          <t>Ингредиент</t>
        </is>
      </c>
      <c r="C239" s="306" t="inlineStr">
        <is>
          <t>Кол-во</t>
        </is>
      </c>
      <c r="D239" s="306" t="inlineStr">
        <is>
          <t>Гарнир</t>
        </is>
      </c>
      <c r="E239" s="306" t="inlineStr">
        <is>
          <t>Посуда</t>
        </is>
      </c>
      <c r="F239" s="306" t="inlineStr">
        <is>
          <t>Метод</t>
        </is>
      </c>
    </row>
    <row r="240">
      <c r="A240" s="369" t="inlineStr">
        <is>
          <t>Godfather</t>
        </is>
      </c>
      <c r="B240" s="421" t="inlineStr">
        <is>
          <t>Dewar's white lable</t>
        </is>
      </c>
      <c r="C240" s="307" t="n">
        <v>50</v>
      </c>
      <c r="D240" s="307" t="inlineStr">
        <is>
          <t>Цедра апельсина</t>
        </is>
      </c>
      <c r="E240" s="307" t="inlineStr">
        <is>
          <t>Рокс</t>
        </is>
      </c>
      <c r="F240" s="307" t="inlineStr">
        <is>
          <t>Стир</t>
        </is>
      </c>
    </row>
    <row r="241">
      <c r="A241" s="136" t="n"/>
      <c r="B241" s="421" t="inlineStr">
        <is>
          <t>Bols amaretto</t>
        </is>
      </c>
      <c r="C241" s="307" t="n">
        <v>30</v>
      </c>
      <c r="D241" s="303" t="n"/>
      <c r="E241" s="303" t="n"/>
      <c r="F241" s="303" t="n"/>
    </row>
    <row r="242">
      <c r="A242" s="326" t="inlineStr">
        <is>
          <t>Названиен</t>
        </is>
      </c>
      <c r="B242" s="506" t="inlineStr">
        <is>
          <t>Ингрдиенты</t>
        </is>
      </c>
      <c r="C242" s="506" t="inlineStr">
        <is>
          <t>кол-во</t>
        </is>
      </c>
      <c r="D242" s="506" t="inlineStr">
        <is>
          <t>Гарнир</t>
        </is>
      </c>
      <c r="E242" s="506" t="inlineStr">
        <is>
          <t>Посуда</t>
        </is>
      </c>
      <c r="F242" s="506" t="inlineStr">
        <is>
          <t>Метод</t>
        </is>
      </c>
    </row>
    <row r="243">
      <c r="A243" s="369" t="inlineStr">
        <is>
          <t>Hanky Panky</t>
        </is>
      </c>
      <c r="B243" s="296" t="inlineStr">
        <is>
          <t>Bosford ( джин )</t>
        </is>
      </c>
      <c r="C243" s="328" t="n">
        <v>40</v>
      </c>
      <c r="D243" s="328" t="inlineStr">
        <is>
          <t>Цедра апельсина</t>
        </is>
      </c>
      <c r="E243" s="328" t="inlineStr">
        <is>
          <t>Ник&amp;Нора</t>
        </is>
      </c>
      <c r="F243" s="328" t="inlineStr">
        <is>
          <t>Стир</t>
        </is>
      </c>
    </row>
    <row r="244">
      <c r="A244" s="136" t="n"/>
      <c r="B244" s="421" t="inlineStr">
        <is>
          <t>Martini rosso</t>
        </is>
      </c>
      <c r="C244" s="328" t="n">
        <v>25</v>
      </c>
      <c r="D244" s="329" t="n"/>
      <c r="E244" s="329" t="n"/>
      <c r="F244" s="329" t="n"/>
    </row>
    <row r="245">
      <c r="A245" s="136" t="n"/>
      <c r="B245" s="421" t="inlineStr">
        <is>
          <t>Ferney - branca</t>
        </is>
      </c>
      <c r="C245" s="328" t="n">
        <v>7</v>
      </c>
      <c r="D245" s="329" t="n"/>
      <c r="E245" s="329" t="n"/>
      <c r="F245" s="329" t="n"/>
    </row>
    <row r="246">
      <c r="A246" s="305" t="inlineStr">
        <is>
          <t>Название</t>
        </is>
      </c>
      <c r="B246" s="306" t="inlineStr">
        <is>
          <t>Ингредиент</t>
        </is>
      </c>
      <c r="C246" s="306" t="inlineStr">
        <is>
          <t>Кол-во</t>
        </is>
      </c>
      <c r="D246" s="306" t="inlineStr">
        <is>
          <t>Гарнир</t>
        </is>
      </c>
      <c r="E246" s="306" t="inlineStr">
        <is>
          <t>Посуда</t>
        </is>
      </c>
      <c r="F246" s="306" t="inlineStr">
        <is>
          <t>Метод</t>
        </is>
      </c>
    </row>
    <row r="247">
      <c r="A247" s="369" t="inlineStr">
        <is>
          <t>Hor Batter Rum</t>
        </is>
      </c>
      <c r="B247" s="421" t="inlineStr">
        <is>
          <t>Plantation 3 star ( ром )</t>
        </is>
      </c>
      <c r="C247" s="307" t="n">
        <v>45</v>
      </c>
      <c r="D247" s="307" t="inlineStr">
        <is>
          <t>Корица 2 грм</t>
        </is>
      </c>
      <c r="E247" s="307" t="inlineStr">
        <is>
          <t>Кружка</t>
        </is>
      </c>
      <c r="F247" s="307" t="inlineStr">
        <is>
          <t>Билд</t>
        </is>
      </c>
    </row>
    <row r="248">
      <c r="A248" s="369" t="n"/>
      <c r="B248" s="421" t="inlineStr">
        <is>
          <t>Масло сливочное</t>
        </is>
      </c>
      <c r="C248" s="307" t="n">
        <v>10</v>
      </c>
      <c r="D248" s="307" t="n"/>
      <c r="E248" s="307" t="n"/>
      <c r="F248" s="307" t="n"/>
    </row>
    <row r="249">
      <c r="A249" s="301" t="n"/>
      <c r="B249" s="421" t="inlineStr">
        <is>
          <t>Сироп корица</t>
        </is>
      </c>
      <c r="C249" s="307" t="n">
        <v>25</v>
      </c>
      <c r="D249" s="303" t="n"/>
      <c r="E249" s="303" t="n"/>
      <c r="F249" s="303" t="n"/>
    </row>
    <row r="250">
      <c r="A250" s="301" t="n"/>
      <c r="B250" s="421" t="inlineStr">
        <is>
          <t>Rich сок 0,25 ( яблоко )</t>
        </is>
      </c>
      <c r="C250" s="307" t="inlineStr">
        <is>
          <t>1 шт</t>
        </is>
      </c>
      <c r="D250" s="303" t="n"/>
      <c r="E250" s="303" t="n"/>
      <c r="F250" s="303" t="n"/>
    </row>
    <row r="251">
      <c r="A251" s="305" t="inlineStr">
        <is>
          <t>Название</t>
        </is>
      </c>
      <c r="B251" s="306" t="inlineStr">
        <is>
          <t>Ингредиент</t>
        </is>
      </c>
      <c r="C251" s="306" t="inlineStr">
        <is>
          <t>Кол-во</t>
        </is>
      </c>
      <c r="D251" s="306" t="inlineStr">
        <is>
          <t>Гарнир</t>
        </is>
      </c>
      <c r="E251" s="306" t="inlineStr">
        <is>
          <t>Посуда</t>
        </is>
      </c>
      <c r="F251" s="306" t="inlineStr">
        <is>
          <t>Метод</t>
        </is>
      </c>
    </row>
    <row r="252">
      <c r="A252" s="369" t="inlineStr">
        <is>
          <t>Hemingway Daiquiri</t>
        </is>
      </c>
      <c r="B252" s="421" t="inlineStr">
        <is>
          <t>Plantation 3 star ( ром )</t>
        </is>
      </c>
      <c r="C252" s="307" t="n">
        <v>45</v>
      </c>
      <c r="D252" s="307" t="inlineStr">
        <is>
          <t>Цедра грейпфрута</t>
        </is>
      </c>
      <c r="E252" s="307" t="inlineStr">
        <is>
          <t>Ник и Нора</t>
        </is>
      </c>
      <c r="F252" s="307" t="inlineStr">
        <is>
          <t>Шейк</t>
        </is>
      </c>
    </row>
    <row r="253">
      <c r="A253" s="301" t="n"/>
      <c r="B253" s="421" t="inlineStr">
        <is>
          <t>Bols maraschino</t>
        </is>
      </c>
      <c r="C253" s="307" t="n">
        <v>10</v>
      </c>
      <c r="D253" s="303" t="n"/>
      <c r="E253" s="303" t="n"/>
      <c r="F253" s="303" t="n"/>
    </row>
    <row r="254">
      <c r="A254" s="301" t="n"/>
      <c r="B254" s="421" t="inlineStr">
        <is>
          <t>Сок лайма</t>
        </is>
      </c>
      <c r="C254" s="307" t="n">
        <v>25</v>
      </c>
      <c r="D254" s="303" t="n"/>
      <c r="E254" s="303" t="n"/>
      <c r="F254" s="303" t="n"/>
    </row>
    <row r="255">
      <c r="A255" s="301" t="n"/>
      <c r="B255" s="421" t="inlineStr">
        <is>
          <t>Сок грейпфрута</t>
        </is>
      </c>
      <c r="C255" s="307" t="n">
        <v>25</v>
      </c>
      <c r="D255" s="303" t="n"/>
      <c r="E255" s="303" t="n"/>
      <c r="F255" s="303" t="n"/>
    </row>
    <row r="256">
      <c r="A256" s="305" t="inlineStr">
        <is>
          <t>Название</t>
        </is>
      </c>
      <c r="B256" s="306" t="inlineStr">
        <is>
          <t>Ингредиент</t>
        </is>
      </c>
      <c r="C256" s="306" t="inlineStr">
        <is>
          <t>Кол-во</t>
        </is>
      </c>
      <c r="D256" s="306" t="inlineStr">
        <is>
          <t>Гарнир</t>
        </is>
      </c>
      <c r="E256" s="306" t="inlineStr">
        <is>
          <t>Посуда</t>
        </is>
      </c>
      <c r="F256" s="306" t="inlineStr">
        <is>
          <t>Метод</t>
        </is>
      </c>
    </row>
    <row r="257">
      <c r="A257" s="369" t="inlineStr">
        <is>
          <t>Horse’s Neck</t>
        </is>
      </c>
      <c r="B257" s="421" t="inlineStr">
        <is>
          <t>Dewar's white lable</t>
        </is>
      </c>
      <c r="C257" s="307" t="n">
        <v>50</v>
      </c>
      <c r="D257" s="307" t="inlineStr">
        <is>
          <t>Цедра лимона</t>
        </is>
      </c>
      <c r="E257" s="307" t="inlineStr">
        <is>
          <t>Хайболл</t>
        </is>
      </c>
      <c r="F257" s="307" t="inlineStr">
        <is>
          <t>Билд</t>
        </is>
      </c>
    </row>
    <row r="258">
      <c r="A258" s="301" t="n"/>
      <c r="B258" s="421" t="inlineStr">
        <is>
          <t>Rich tonic 0,33</t>
        </is>
      </c>
      <c r="C258" s="307" t="n">
        <v>120</v>
      </c>
      <c r="D258" s="303" t="n"/>
      <c r="E258" s="303" t="n"/>
      <c r="F258" s="303" t="n"/>
    </row>
    <row r="259">
      <c r="A259" s="301" t="n"/>
      <c r="B259" s="421" t="inlineStr">
        <is>
          <t>Angostura bitter</t>
        </is>
      </c>
      <c r="C259" s="307" t="n">
        <v>2</v>
      </c>
      <c r="D259" s="303" t="n"/>
      <c r="E259" s="303" t="n"/>
      <c r="F259" s="303" t="n"/>
    </row>
    <row r="260">
      <c r="A260" s="305" t="inlineStr">
        <is>
          <t>Название</t>
        </is>
      </c>
      <c r="B260" s="306" t="inlineStr">
        <is>
          <t>Ингредиент</t>
        </is>
      </c>
      <c r="C260" s="306" t="inlineStr">
        <is>
          <t>Кол-во</t>
        </is>
      </c>
      <c r="D260" s="306" t="inlineStr">
        <is>
          <t>Гарнир</t>
        </is>
      </c>
      <c r="E260" s="306" t="inlineStr">
        <is>
          <t>Посуда</t>
        </is>
      </c>
      <c r="F260" s="306" t="inlineStr">
        <is>
          <t>Метод</t>
        </is>
      </c>
    </row>
    <row r="261">
      <c r="A261" s="369" t="inlineStr">
        <is>
          <t>Irish coffee</t>
        </is>
      </c>
      <c r="B261" s="421" t="inlineStr">
        <is>
          <t>Jameson</t>
        </is>
      </c>
      <c r="C261" s="307" t="n">
        <v>40</v>
      </c>
      <c r="D261" s="307" t="inlineStr">
        <is>
          <t>Кофейные зёрна 4-5 шт</t>
        </is>
      </c>
      <c r="E261" s="307" t="inlineStr">
        <is>
          <t>Кружка</t>
        </is>
      </c>
      <c r="F261" s="307" t="inlineStr">
        <is>
          <t>Билд</t>
        </is>
      </c>
    </row>
    <row r="262">
      <c r="A262" s="301" t="n"/>
      <c r="B262" s="421" t="inlineStr">
        <is>
          <t>Кофе</t>
        </is>
      </c>
      <c r="C262" s="307" t="n">
        <v>120</v>
      </c>
      <c r="D262" s="303" t="n"/>
      <c r="E262" s="303" t="n"/>
      <c r="F262" s="303" t="n"/>
    </row>
    <row r="263">
      <c r="A263" s="301" t="n"/>
      <c r="B263" s="421" t="inlineStr">
        <is>
          <t>Сливки 33%</t>
        </is>
      </c>
      <c r="C263" s="307" t="n">
        <v>30</v>
      </c>
      <c r="D263" s="303" t="n"/>
      <c r="E263" s="303" t="n"/>
      <c r="F263" s="303" t="n"/>
    </row>
    <row r="264">
      <c r="A264" s="301" t="n"/>
      <c r="B264" s="421" t="inlineStr">
        <is>
          <t xml:space="preserve">Сахар ванильный </t>
        </is>
      </c>
      <c r="C264" s="307" t="n">
        <v>15</v>
      </c>
      <c r="D264" s="303" t="n"/>
      <c r="E264" s="303" t="n"/>
      <c r="F264" s="303" t="n"/>
    </row>
    <row r="265">
      <c r="A265" s="305" t="inlineStr">
        <is>
          <t>Название</t>
        </is>
      </c>
      <c r="B265" s="306" t="inlineStr">
        <is>
          <t>Ингредиент</t>
        </is>
      </c>
      <c r="C265" s="306" t="inlineStr">
        <is>
          <t>Кол-во</t>
        </is>
      </c>
      <c r="D265" s="306" t="inlineStr">
        <is>
          <t>Гарнир</t>
        </is>
      </c>
      <c r="E265" s="306" t="inlineStr">
        <is>
          <t>Посуда</t>
        </is>
      </c>
      <c r="F265" s="306" t="inlineStr">
        <is>
          <t>Метод</t>
        </is>
      </c>
    </row>
    <row r="266">
      <c r="A266" s="369" t="inlineStr">
        <is>
          <t>Kamikaze</t>
        </is>
      </c>
      <c r="B266" s="421" t="inlineStr">
        <is>
          <t>Tundra ( vodka )</t>
        </is>
      </c>
      <c r="C266" s="307" t="n">
        <v>50</v>
      </c>
      <c r="D266" s="307" t="inlineStr">
        <is>
          <t>Цедра лимона</t>
        </is>
      </c>
      <c r="E266" s="307" t="inlineStr">
        <is>
          <t>Купе</t>
        </is>
      </c>
      <c r="F266" s="307" t="inlineStr">
        <is>
          <t>Шейк</t>
        </is>
      </c>
    </row>
    <row r="267">
      <c r="A267" s="301" t="n"/>
      <c r="B267" s="421" t="inlineStr">
        <is>
          <t>Cointreau</t>
        </is>
      </c>
      <c r="C267" s="307" t="n">
        <v>25</v>
      </c>
      <c r="D267" s="303" t="n"/>
      <c r="E267" s="303" t="n"/>
      <c r="F267" s="303" t="n"/>
    </row>
    <row r="268">
      <c r="A268" s="301" t="n"/>
      <c r="B268" s="421" t="inlineStr">
        <is>
          <t>Сок лайма</t>
        </is>
      </c>
      <c r="C268" s="307" t="n">
        <v>25</v>
      </c>
      <c r="D268" s="303" t="n"/>
      <c r="E268" s="303" t="n"/>
      <c r="F268" s="303" t="n"/>
    </row>
    <row r="269">
      <c r="A269" s="305" t="inlineStr">
        <is>
          <t>Название</t>
        </is>
      </c>
      <c r="B269" s="306" t="inlineStr">
        <is>
          <t>Ингредиент</t>
        </is>
      </c>
      <c r="C269" s="306" t="inlineStr">
        <is>
          <t>Кол-во</t>
        </is>
      </c>
      <c r="D269" s="306" t="inlineStr">
        <is>
          <t>Гарнир</t>
        </is>
      </c>
      <c r="E269" s="306" t="inlineStr">
        <is>
          <t>Посуда</t>
        </is>
      </c>
      <c r="F269" s="306" t="inlineStr">
        <is>
          <t>Метод</t>
        </is>
      </c>
    </row>
    <row r="270">
      <c r="A270" s="369" t="inlineStr">
        <is>
          <t>Kir</t>
        </is>
      </c>
      <c r="B270" s="421" t="inlineStr">
        <is>
          <t>Cartron cream de cassis</t>
        </is>
      </c>
      <c r="C270" s="307" t="n">
        <v>15</v>
      </c>
      <c r="D270" s="307" t="inlineStr">
        <is>
          <t>н/а</t>
        </is>
      </c>
      <c r="E270" s="307" t="inlineStr">
        <is>
          <t>Винный бокал</t>
        </is>
      </c>
      <c r="F270" s="307" t="inlineStr">
        <is>
          <t>Билд</t>
        </is>
      </c>
    </row>
    <row r="271">
      <c r="A271" s="301" t="n"/>
      <c r="B271" s="421" t="inlineStr">
        <is>
          <t>Ned Sauvignon blanc ( вино )</t>
        </is>
      </c>
      <c r="C271" s="307" t="n">
        <v>125</v>
      </c>
      <c r="D271" s="303" t="n"/>
      <c r="E271" s="303" t="n"/>
      <c r="F271" s="303" t="n"/>
    </row>
    <row r="272">
      <c r="A272" s="305" t="inlineStr">
        <is>
          <t>Название</t>
        </is>
      </c>
      <c r="B272" s="306" t="inlineStr">
        <is>
          <t>Ингредиент</t>
        </is>
      </c>
      <c r="C272" s="306" t="inlineStr">
        <is>
          <t>Кол-во</t>
        </is>
      </c>
      <c r="D272" s="306" t="inlineStr">
        <is>
          <t>Гарнир</t>
        </is>
      </c>
      <c r="E272" s="306" t="inlineStr">
        <is>
          <t>Посуда</t>
        </is>
      </c>
      <c r="F272" s="306" t="inlineStr">
        <is>
          <t>Метод</t>
        </is>
      </c>
    </row>
    <row r="273">
      <c r="A273" s="369" t="inlineStr">
        <is>
          <t>Kir Royal</t>
        </is>
      </c>
      <c r="B273" s="421" t="inlineStr">
        <is>
          <t>Cartron cream de cassis</t>
        </is>
      </c>
      <c r="C273" s="307" t="n">
        <v>15</v>
      </c>
      <c r="D273" s="307" t="inlineStr">
        <is>
          <t>н/а</t>
        </is>
      </c>
      <c r="E273" s="307" t="inlineStr">
        <is>
          <t>Флюте</t>
        </is>
      </c>
      <c r="F273" s="307" t="inlineStr">
        <is>
          <t>Билд</t>
        </is>
      </c>
    </row>
    <row r="274">
      <c r="A274" s="301" t="n"/>
      <c r="B274" s="421" t="inlineStr">
        <is>
          <t>Casa defra ( просекко )</t>
        </is>
      </c>
      <c r="C274" s="307" t="n">
        <v>125</v>
      </c>
      <c r="D274" s="303" t="n"/>
      <c r="E274" s="303" t="n"/>
      <c r="F274" s="303" t="n"/>
    </row>
    <row r="275">
      <c r="A275" s="326" t="inlineStr">
        <is>
          <t>Название</t>
        </is>
      </c>
      <c r="B275" s="506" t="inlineStr">
        <is>
          <t>Ингридиенты</t>
        </is>
      </c>
      <c r="C275" s="506" t="inlineStr">
        <is>
          <t>кол-во</t>
        </is>
      </c>
      <c r="D275" s="506" t="inlineStr">
        <is>
          <t>Гарнир</t>
        </is>
      </c>
      <c r="E275" s="506" t="inlineStr">
        <is>
          <t>Посуда</t>
        </is>
      </c>
      <c r="F275" s="506" t="inlineStr">
        <is>
          <t>Метод</t>
        </is>
      </c>
    </row>
    <row r="276">
      <c r="A276" s="369" t="inlineStr">
        <is>
          <t>Knickerbocker</t>
        </is>
      </c>
      <c r="B276" s="421" t="inlineStr">
        <is>
          <t>Okheart</t>
        </is>
      </c>
      <c r="C276" s="328" t="n">
        <v>60</v>
      </c>
      <c r="D276" s="328" t="inlineStr">
        <is>
          <t>Малина свежая 10 грм</t>
        </is>
      </c>
      <c r="E276" s="328" t="inlineStr">
        <is>
          <t>Тики</t>
        </is>
      </c>
      <c r="F276" s="328" t="inlineStr">
        <is>
          <t>Шейк</t>
        </is>
      </c>
    </row>
    <row r="277">
      <c r="A277" s="136" t="n"/>
      <c r="B277" s="421" t="inlineStr">
        <is>
          <t>Cointreau</t>
        </is>
      </c>
      <c r="C277" s="328" t="n">
        <v>20</v>
      </c>
      <c r="D277" s="329" t="n"/>
      <c r="E277" s="329" t="n"/>
      <c r="F277" s="329" t="n"/>
    </row>
    <row r="278">
      <c r="A278" s="136" t="n"/>
      <c r="B278" s="421" t="inlineStr">
        <is>
          <t>Сироп малина</t>
        </is>
      </c>
      <c r="C278" s="328" t="n">
        <v>30</v>
      </c>
      <c r="D278" s="329" t="n"/>
      <c r="E278" s="329" t="n"/>
      <c r="F278" s="329" t="n"/>
    </row>
    <row r="279">
      <c r="A279" s="136" t="n"/>
      <c r="B279" s="421" t="inlineStr">
        <is>
          <t>Сироп сахар</t>
        </is>
      </c>
      <c r="C279" s="328" t="n">
        <v>15</v>
      </c>
      <c r="D279" s="329" t="n"/>
      <c r="E279" s="329" t="n"/>
      <c r="F279" s="329" t="n"/>
    </row>
    <row r="280">
      <c r="A280" s="136" t="n"/>
      <c r="B280" s="421" t="inlineStr">
        <is>
          <t>Фреш лайма</t>
        </is>
      </c>
      <c r="C280" s="328" t="n">
        <v>20</v>
      </c>
      <c r="D280" s="329" t="n"/>
      <c r="E280" s="329" t="n"/>
      <c r="F280" s="329" t="n"/>
    </row>
    <row r="281">
      <c r="A281" s="305" t="inlineStr">
        <is>
          <t>Название</t>
        </is>
      </c>
      <c r="B281" s="306" t="inlineStr">
        <is>
          <t>Ингредиент</t>
        </is>
      </c>
      <c r="C281" s="306" t="inlineStr">
        <is>
          <t>Кол-во</t>
        </is>
      </c>
      <c r="D281" s="306" t="inlineStr">
        <is>
          <t>Гарнир</t>
        </is>
      </c>
      <c r="E281" s="306" t="inlineStr">
        <is>
          <t>Посуда</t>
        </is>
      </c>
      <c r="F281" s="306" t="inlineStr">
        <is>
          <t>Метод</t>
        </is>
      </c>
    </row>
    <row r="282">
      <c r="A282" s="369" t="inlineStr">
        <is>
          <t>Last Word</t>
        </is>
      </c>
      <c r="B282" s="296" t="inlineStr">
        <is>
          <t>Bosford ( джин )</t>
        </is>
      </c>
      <c r="C282" s="307" t="n">
        <v>30</v>
      </c>
      <c r="D282" s="307" t="inlineStr">
        <is>
          <t>Цедра лимона</t>
        </is>
      </c>
      <c r="E282" s="307" t="inlineStr">
        <is>
          <t>Купе</t>
        </is>
      </c>
      <c r="F282" s="307" t="inlineStr">
        <is>
          <t>Шейк</t>
        </is>
      </c>
    </row>
    <row r="283">
      <c r="A283" s="301" t="n"/>
      <c r="B283" s="421" t="inlineStr">
        <is>
          <t>Bols maraschino</t>
        </is>
      </c>
      <c r="C283" s="307" t="n">
        <v>30</v>
      </c>
      <c r="D283" s="303" t="n"/>
      <c r="E283" s="303" t="n"/>
      <c r="F283" s="303" t="n"/>
    </row>
    <row r="284">
      <c r="A284" s="301" t="n"/>
      <c r="B284" s="421" t="inlineStr">
        <is>
          <t>Chartres</t>
        </is>
      </c>
      <c r="C284" s="307" t="n">
        <v>30</v>
      </c>
      <c r="D284" s="303" t="n"/>
      <c r="E284" s="303" t="n"/>
      <c r="F284" s="303" t="n"/>
    </row>
    <row r="285">
      <c r="A285" s="301" t="n"/>
      <c r="B285" s="421" t="inlineStr">
        <is>
          <t>Сок лайма</t>
        </is>
      </c>
      <c r="C285" s="307" t="n">
        <v>30</v>
      </c>
      <c r="D285" s="303" t="n"/>
      <c r="E285" s="303" t="n"/>
      <c r="F285" s="303" t="n"/>
    </row>
    <row r="286">
      <c r="A286" s="305" t="inlineStr">
        <is>
          <t>Название</t>
        </is>
      </c>
      <c r="B286" s="306" t="inlineStr">
        <is>
          <t>Ингредиент</t>
        </is>
      </c>
      <c r="C286" s="306" t="inlineStr">
        <is>
          <t>Кол-во</t>
        </is>
      </c>
      <c r="D286" s="306" t="inlineStr">
        <is>
          <t>Гарнир</t>
        </is>
      </c>
      <c r="E286" s="306" t="inlineStr">
        <is>
          <t>Посуда</t>
        </is>
      </c>
      <c r="F286" s="306" t="inlineStr">
        <is>
          <t>Метод</t>
        </is>
      </c>
    </row>
    <row r="287">
      <c r="A287" s="369" t="inlineStr">
        <is>
          <t>Long Island Ice Tea</t>
        </is>
      </c>
      <c r="B287" s="296" t="inlineStr">
        <is>
          <t>Bosford ( джин )</t>
        </is>
      </c>
      <c r="C287" s="307" t="n">
        <v>20</v>
      </c>
      <c r="D287" s="307" t="inlineStr">
        <is>
          <t>Лимон слайс 20 грм</t>
        </is>
      </c>
      <c r="E287" s="307" t="inlineStr">
        <is>
          <t>Хайболл</t>
        </is>
      </c>
      <c r="F287" s="307" t="inlineStr">
        <is>
          <t>Шейк - Топ</t>
        </is>
      </c>
    </row>
    <row r="288">
      <c r="A288" s="301" t="n"/>
      <c r="B288" s="421" t="inlineStr">
        <is>
          <t>Plantation 3 star ( ром )</t>
        </is>
      </c>
      <c r="C288" s="307" t="n">
        <v>20</v>
      </c>
      <c r="D288" s="303" t="n"/>
      <c r="E288" s="303" t="n"/>
      <c r="F288" s="303" t="n"/>
    </row>
    <row r="289">
      <c r="A289" s="301" t="n"/>
      <c r="B289" s="421" t="inlineStr">
        <is>
          <t>Tundra ( vodka )</t>
        </is>
      </c>
      <c r="C289" s="307" t="n">
        <v>20</v>
      </c>
      <c r="D289" s="303" t="n"/>
      <c r="E289" s="303" t="n"/>
      <c r="F289" s="303" t="n"/>
    </row>
    <row r="290">
      <c r="A290" s="301" t="n"/>
      <c r="B290" s="421" t="inlineStr">
        <is>
          <t>Jose Cuervo silver</t>
        </is>
      </c>
      <c r="C290" s="307" t="n">
        <v>20</v>
      </c>
      <c r="D290" s="303" t="n"/>
      <c r="E290" s="303" t="n"/>
      <c r="F290" s="303" t="n"/>
    </row>
    <row r="291">
      <c r="A291" s="301" t="n"/>
      <c r="B291" s="421" t="inlineStr">
        <is>
          <t>Cointreau</t>
        </is>
      </c>
      <c r="C291" s="307" t="n">
        <v>20</v>
      </c>
      <c r="D291" s="303" t="n"/>
      <c r="E291" s="303" t="n"/>
      <c r="F291" s="303" t="n"/>
    </row>
    <row r="292">
      <c r="A292" s="301" t="n"/>
      <c r="B292" s="421" t="inlineStr">
        <is>
          <t>Сок лимона</t>
        </is>
      </c>
      <c r="C292" s="307" t="n">
        <v>20</v>
      </c>
      <c r="D292" s="303" t="n"/>
      <c r="E292" s="303" t="n"/>
      <c r="F292" s="303" t="n"/>
    </row>
    <row r="293">
      <c r="A293" s="301" t="n"/>
      <c r="B293" s="421" t="inlineStr">
        <is>
          <t>Сироп сахар</t>
        </is>
      </c>
      <c r="C293" s="307" t="n">
        <v>15</v>
      </c>
      <c r="D293" s="303" t="n"/>
      <c r="E293" s="303" t="n"/>
      <c r="F293" s="303" t="n"/>
    </row>
    <row r="294">
      <c r="A294" s="301" t="n"/>
      <c r="B294" s="421" t="inlineStr">
        <is>
          <t>Coca Cola</t>
        </is>
      </c>
      <c r="C294" s="307" t="inlineStr">
        <is>
          <t>1 шт</t>
        </is>
      </c>
      <c r="D294" s="303" t="n"/>
      <c r="E294" s="303" t="n"/>
      <c r="F294" s="303" t="n"/>
    </row>
    <row r="295">
      <c r="A295" s="326" t="inlineStr">
        <is>
          <t>Название</t>
        </is>
      </c>
      <c r="B295" s="506" t="inlineStr">
        <is>
          <t>Ингридиенты</t>
        </is>
      </c>
      <c r="C295" s="506" t="inlineStr">
        <is>
          <t>кол-во</t>
        </is>
      </c>
      <c r="D295" s="506" t="inlineStr">
        <is>
          <t>Гарнир</t>
        </is>
      </c>
      <c r="E295" s="506" t="inlineStr">
        <is>
          <t>Посмуда</t>
        </is>
      </c>
      <c r="F295" s="506" t="inlineStr">
        <is>
          <t>Метод</t>
        </is>
      </c>
    </row>
    <row r="296">
      <c r="A296" s="369" t="inlineStr">
        <is>
          <t>Lucien Gaden</t>
        </is>
      </c>
      <c r="B296" s="296" t="inlineStr">
        <is>
          <t>Bosford ( джин )</t>
        </is>
      </c>
      <c r="C296" s="328" t="n">
        <v>30</v>
      </c>
      <c r="D296" s="328" t="inlineStr">
        <is>
          <t>Цедра апельсина</t>
        </is>
      </c>
      <c r="E296" s="328" t="inlineStr">
        <is>
          <t>Ник&amp;Нора</t>
        </is>
      </c>
      <c r="F296" s="328" t="inlineStr">
        <is>
          <t>Стир</t>
        </is>
      </c>
    </row>
    <row r="297">
      <c r="A297" s="136" t="n"/>
      <c r="B297" s="421" t="inlineStr">
        <is>
          <t>Campari</t>
        </is>
      </c>
      <c r="C297" s="328" t="n">
        <v>15</v>
      </c>
      <c r="D297" s="329" t="n"/>
      <c r="E297" s="329" t="n"/>
      <c r="F297" s="329" t="n"/>
    </row>
    <row r="298">
      <c r="A298" s="136" t="n"/>
      <c r="B298" s="421" t="inlineStr">
        <is>
          <t>Cointreau</t>
        </is>
      </c>
      <c r="C298" s="328" t="n">
        <v>15</v>
      </c>
      <c r="D298" s="329" t="n"/>
      <c r="E298" s="329" t="n"/>
      <c r="F298" s="329" t="n"/>
    </row>
    <row r="299">
      <c r="A299" s="136" t="n"/>
      <c r="B299" s="421" t="inlineStr">
        <is>
          <t>Martini extra dry</t>
        </is>
      </c>
      <c r="C299" s="328" t="n">
        <v>15</v>
      </c>
      <c r="D299" s="329" t="n"/>
      <c r="E299" s="329" t="n"/>
      <c r="F299" s="329" t="n"/>
    </row>
    <row r="300">
      <c r="A300" s="305" t="inlineStr">
        <is>
          <t>Название</t>
        </is>
      </c>
      <c r="B300" s="306" t="inlineStr">
        <is>
          <t>Ингредиент</t>
        </is>
      </c>
      <c r="C300" s="306" t="inlineStr">
        <is>
          <t>Кол-во</t>
        </is>
      </c>
      <c r="D300" s="306" t="inlineStr">
        <is>
          <t>Гарнир</t>
        </is>
      </c>
      <c r="E300" s="306" t="inlineStr">
        <is>
          <t>Посуда</t>
        </is>
      </c>
      <c r="F300" s="306" t="inlineStr">
        <is>
          <t>Метод</t>
        </is>
      </c>
    </row>
    <row r="301">
      <c r="A301" s="369" t="inlineStr">
        <is>
          <t>Mai Tai</t>
        </is>
      </c>
      <c r="B301" s="421" t="inlineStr">
        <is>
          <t>Plantation 3 star ( ром )</t>
        </is>
      </c>
      <c r="C301" s="307" t="n">
        <v>30</v>
      </c>
      <c r="D301" s="307" t="inlineStr">
        <is>
          <t>Лайм слайс 20 грм</t>
        </is>
      </c>
      <c r="E301" s="307" t="inlineStr">
        <is>
          <t>Тики</t>
        </is>
      </c>
      <c r="F301" s="307" t="inlineStr">
        <is>
          <t>Шейк</t>
        </is>
      </c>
    </row>
    <row r="302">
      <c r="A302" s="301" t="n"/>
      <c r="B302" s="421" t="inlineStr">
        <is>
          <t>Okheart</t>
        </is>
      </c>
      <c r="C302" s="307" t="n">
        <v>30</v>
      </c>
      <c r="D302" s="321" t="inlineStr">
        <is>
          <t>Лист бамбука 1 шт</t>
        </is>
      </c>
      <c r="E302" s="303" t="n"/>
      <c r="F302" s="303" t="n"/>
    </row>
    <row r="303">
      <c r="A303" s="301" t="n"/>
      <c r="B303" s="421" t="inlineStr">
        <is>
          <t>Bols amaretto</t>
        </is>
      </c>
      <c r="C303" s="307" t="n">
        <v>15</v>
      </c>
      <c r="D303" s="321" t="inlineStr">
        <is>
          <t>Цедра апельсина</t>
        </is>
      </c>
      <c r="E303" s="303" t="n"/>
      <c r="F303" s="303" t="n"/>
    </row>
    <row r="304">
      <c r="A304" s="301" t="n"/>
      <c r="B304" s="421" t="inlineStr">
        <is>
          <t>Cointreau</t>
        </is>
      </c>
      <c r="C304" s="307" t="n">
        <v>20</v>
      </c>
      <c r="D304" s="321" t="inlineStr">
        <is>
          <t>Мараскиновая вишня 10 грм</t>
        </is>
      </c>
      <c r="E304" s="303" t="n"/>
      <c r="F304" s="303" t="n"/>
    </row>
    <row r="305">
      <c r="A305" s="301" t="n"/>
      <c r="B305" s="421" t="inlineStr">
        <is>
          <t>Ананасовое пюре</t>
        </is>
      </c>
      <c r="C305" s="307" t="n">
        <v>40</v>
      </c>
      <c r="D305" s="303" t="n"/>
      <c r="E305" s="303" t="n"/>
      <c r="F305" s="303" t="n"/>
    </row>
    <row r="306">
      <c r="A306" s="301" t="n"/>
      <c r="B306" s="421" t="inlineStr">
        <is>
          <t>Гренадин</t>
        </is>
      </c>
      <c r="C306" s="307" t="n">
        <v>10</v>
      </c>
      <c r="D306" s="303" t="n"/>
      <c r="E306" s="303" t="n"/>
      <c r="F306" s="303" t="n"/>
    </row>
    <row r="307">
      <c r="A307" s="301" t="n"/>
      <c r="B307" s="421" t="inlineStr">
        <is>
          <t>Сок лайма</t>
        </is>
      </c>
      <c r="C307" s="307" t="n">
        <v>25</v>
      </c>
      <c r="D307" s="303" t="n"/>
      <c r="E307" s="303" t="n"/>
      <c r="F307" s="303" t="n"/>
    </row>
    <row r="308">
      <c r="A308" s="305" t="inlineStr">
        <is>
          <t>Название</t>
        </is>
      </c>
      <c r="B308" s="306" t="inlineStr">
        <is>
          <t>Ингредиент</t>
        </is>
      </c>
      <c r="C308" s="306" t="inlineStr">
        <is>
          <t>Кол-во</t>
        </is>
      </c>
      <c r="D308" s="306" t="inlineStr">
        <is>
          <t>Гарнир</t>
        </is>
      </c>
      <c r="E308" s="306" t="inlineStr">
        <is>
          <t>Посуда</t>
        </is>
      </c>
      <c r="F308" s="306" t="inlineStr">
        <is>
          <t>Метод</t>
        </is>
      </c>
    </row>
    <row r="309">
      <c r="A309" s="369" t="inlineStr">
        <is>
          <t>Manhattan</t>
        </is>
      </c>
      <c r="B309" s="421" t="inlineStr">
        <is>
          <t>Old Virginia ( бурбон )</t>
        </is>
      </c>
      <c r="C309" s="307" t="n">
        <v>50</v>
      </c>
      <c r="D309" s="307" t="inlineStr">
        <is>
          <t>Цедра апельсина</t>
        </is>
      </c>
      <c r="E309" s="307" t="inlineStr">
        <is>
          <t>Ник и Нора</t>
        </is>
      </c>
      <c r="F309" s="307" t="inlineStr">
        <is>
          <t>Стир</t>
        </is>
      </c>
    </row>
    <row r="310">
      <c r="A310" s="301" t="n"/>
      <c r="B310" s="421" t="inlineStr">
        <is>
          <t>Martini rosso</t>
        </is>
      </c>
      <c r="C310" s="307" t="n">
        <v>30</v>
      </c>
      <c r="D310" s="307" t="inlineStr">
        <is>
          <t>Вишня мараскиновая 10 грм</t>
        </is>
      </c>
      <c r="E310" s="303" t="n"/>
      <c r="F310" s="303" t="n"/>
    </row>
    <row r="311">
      <c r="A311" s="301" t="n"/>
      <c r="B311" s="421" t="inlineStr">
        <is>
          <t>Angostura bitter</t>
        </is>
      </c>
      <c r="C311" s="307" t="n">
        <v>1</v>
      </c>
      <c r="D311" s="303" t="n"/>
      <c r="E311" s="303" t="n"/>
      <c r="F311" s="303" t="n"/>
    </row>
    <row r="312">
      <c r="A312" s="305" t="inlineStr">
        <is>
          <t>Название</t>
        </is>
      </c>
      <c r="B312" s="306" t="inlineStr">
        <is>
          <t>Ингредиент</t>
        </is>
      </c>
      <c r="C312" s="306" t="inlineStr">
        <is>
          <t>Кол-во</t>
        </is>
      </c>
      <c r="D312" s="306" t="inlineStr">
        <is>
          <t>Гарнир</t>
        </is>
      </c>
      <c r="E312" s="306" t="inlineStr">
        <is>
          <t>Посуда</t>
        </is>
      </c>
      <c r="F312" s="306" t="inlineStr">
        <is>
          <t>Метод</t>
        </is>
      </c>
    </row>
    <row r="313">
      <c r="A313" s="369" t="inlineStr">
        <is>
          <t>Margarita</t>
        </is>
      </c>
      <c r="B313" s="421" t="inlineStr">
        <is>
          <t>Jose Cuervo silver</t>
        </is>
      </c>
      <c r="C313" s="307" t="n">
        <v>50</v>
      </c>
      <c r="D313" s="307" t="inlineStr">
        <is>
          <t>Краста соль ( чёрная ) 3 грм</t>
        </is>
      </c>
      <c r="E313" s="307" t="inlineStr">
        <is>
          <t>Купе</t>
        </is>
      </c>
      <c r="F313" s="307" t="inlineStr">
        <is>
          <t>Шейк</t>
        </is>
      </c>
    </row>
    <row r="314">
      <c r="A314" s="301" t="n"/>
      <c r="B314" s="421" t="inlineStr">
        <is>
          <t>Cointreau</t>
        </is>
      </c>
      <c r="C314" s="307" t="n">
        <v>20</v>
      </c>
      <c r="D314" s="303" t="n"/>
      <c r="E314" s="303" t="n"/>
      <c r="F314" s="303" t="n"/>
    </row>
    <row r="315">
      <c r="A315" s="301" t="n"/>
      <c r="B315" s="421" t="inlineStr">
        <is>
          <t>Сок лайма</t>
        </is>
      </c>
      <c r="C315" s="307" t="n">
        <v>25</v>
      </c>
      <c r="D315" s="303" t="n"/>
      <c r="E315" s="303" t="n"/>
      <c r="F315" s="303" t="n"/>
    </row>
    <row r="316">
      <c r="A316" s="301" t="n"/>
      <c r="B316" s="421" t="inlineStr">
        <is>
          <t>Сироп сахар</t>
        </is>
      </c>
      <c r="C316" s="307" t="n">
        <v>5</v>
      </c>
      <c r="D316" s="303" t="n"/>
      <c r="E316" s="303" t="n"/>
      <c r="F316" s="303" t="n"/>
    </row>
    <row r="317">
      <c r="A317" s="305" t="inlineStr">
        <is>
          <t>Название</t>
        </is>
      </c>
      <c r="B317" s="306" t="inlineStr">
        <is>
          <t>Ингредиент</t>
        </is>
      </c>
      <c r="C317" s="306" t="inlineStr">
        <is>
          <t>Кол-во</t>
        </is>
      </c>
      <c r="D317" s="306" t="inlineStr">
        <is>
          <t>Гарнир</t>
        </is>
      </c>
      <c r="E317" s="306" t="inlineStr">
        <is>
          <t>Посуда</t>
        </is>
      </c>
      <c r="F317" s="306" t="inlineStr">
        <is>
          <t>Метод</t>
        </is>
      </c>
    </row>
    <row r="318">
      <c r="A318" s="369" t="inlineStr">
        <is>
          <t>Martinez</t>
        </is>
      </c>
      <c r="B318" s="296" t="inlineStr">
        <is>
          <t>Bosford ( джин )</t>
        </is>
      </c>
      <c r="C318" s="307" t="n">
        <v>50</v>
      </c>
      <c r="D318" s="307" t="inlineStr">
        <is>
          <t>Цедра апельсина</t>
        </is>
      </c>
      <c r="E318" s="307" t="inlineStr">
        <is>
          <t>Ник и Нора</t>
        </is>
      </c>
      <c r="F318" s="307" t="inlineStr">
        <is>
          <t>Стир</t>
        </is>
      </c>
    </row>
    <row r="319">
      <c r="A319" s="301" t="n"/>
      <c r="B319" s="421" t="inlineStr">
        <is>
          <t>Martini rosso</t>
        </is>
      </c>
      <c r="C319" s="307" t="n">
        <v>25</v>
      </c>
      <c r="D319" s="303" t="n"/>
      <c r="E319" s="303" t="n"/>
      <c r="F319" s="303" t="n"/>
    </row>
    <row r="320">
      <c r="A320" s="301" t="n"/>
      <c r="B320" s="421" t="inlineStr">
        <is>
          <t>Bols maraschino</t>
        </is>
      </c>
      <c r="C320" s="307" t="n">
        <v>7</v>
      </c>
      <c r="D320" s="303" t="n"/>
      <c r="E320" s="303" t="n"/>
      <c r="F320" s="303" t="n"/>
    </row>
    <row r="321">
      <c r="A321" s="301" t="n"/>
      <c r="B321" s="421" t="inlineStr">
        <is>
          <t>Angostura bitter</t>
        </is>
      </c>
      <c r="C321" s="307" t="n">
        <v>2</v>
      </c>
      <c r="D321" s="303" t="n"/>
      <c r="E321" s="303" t="n"/>
      <c r="F321" s="303" t="n"/>
    </row>
    <row r="322">
      <c r="A322" s="301" t="n"/>
      <c r="B322" s="421" t="inlineStr">
        <is>
          <t>Angostura orange bitter</t>
        </is>
      </c>
      <c r="C322" s="307" t="n">
        <v>2</v>
      </c>
      <c r="D322" s="303" t="n"/>
      <c r="E322" s="303" t="n"/>
      <c r="F322" s="303" t="n"/>
    </row>
    <row r="323">
      <c r="A323" s="305" t="inlineStr">
        <is>
          <t>Название</t>
        </is>
      </c>
      <c r="B323" s="306" t="inlineStr">
        <is>
          <t>Ингредиент</t>
        </is>
      </c>
      <c r="C323" s="306" t="inlineStr">
        <is>
          <t>Кол-во</t>
        </is>
      </c>
      <c r="D323" s="306" t="inlineStr">
        <is>
          <t>Гарнир</t>
        </is>
      </c>
      <c r="E323" s="306" t="inlineStr">
        <is>
          <t>Посуда</t>
        </is>
      </c>
      <c r="F323" s="306" t="inlineStr">
        <is>
          <t>Метод</t>
        </is>
      </c>
    </row>
    <row r="324">
      <c r="A324" s="369" t="inlineStr">
        <is>
          <t>Milk Punch</t>
        </is>
      </c>
      <c r="B324" s="421" t="inlineStr">
        <is>
          <t>Old Virginia ( бурбон )</t>
        </is>
      </c>
      <c r="C324" s="307" t="n">
        <v>60</v>
      </c>
      <c r="D324" s="307" t="inlineStr">
        <is>
          <t>Мускатный орех 2 грм</t>
        </is>
      </c>
      <c r="E324" s="307" t="inlineStr">
        <is>
          <t>Хайболл</t>
        </is>
      </c>
      <c r="F324" s="307" t="inlineStr">
        <is>
          <t>Шейк</t>
        </is>
      </c>
    </row>
    <row r="325">
      <c r="A325" s="301" t="n"/>
      <c r="B325" s="421" t="inlineStr">
        <is>
          <t>Plantation 3 star ( ром )</t>
        </is>
      </c>
      <c r="C325" s="307" t="n">
        <v>5</v>
      </c>
      <c r="D325" s="303" t="n"/>
      <c r="E325" s="303" t="n"/>
      <c r="F325" s="303" t="n"/>
    </row>
    <row r="326">
      <c r="A326" s="301" t="n"/>
      <c r="B326" s="421" t="inlineStr">
        <is>
          <t>Молоко</t>
        </is>
      </c>
      <c r="C326" s="307" t="n">
        <v>90</v>
      </c>
      <c r="D326" s="303" t="n"/>
      <c r="E326" s="303" t="n"/>
      <c r="F326" s="303" t="n"/>
    </row>
    <row r="327">
      <c r="A327" s="301" t="n"/>
      <c r="B327" s="421" t="inlineStr">
        <is>
          <t>Сироп сахар</t>
        </is>
      </c>
      <c r="C327" s="307" t="n">
        <v>10</v>
      </c>
      <c r="D327" s="303" t="n"/>
      <c r="E327" s="303" t="n"/>
      <c r="F327" s="303" t="n"/>
    </row>
    <row r="328">
      <c r="A328" s="305" t="inlineStr">
        <is>
          <t>Название</t>
        </is>
      </c>
      <c r="B328" s="306" t="inlineStr">
        <is>
          <t>Ингредиент</t>
        </is>
      </c>
      <c r="C328" s="306" t="inlineStr">
        <is>
          <t>Кол-во</t>
        </is>
      </c>
      <c r="D328" s="306" t="inlineStr">
        <is>
          <t>Гарнир</t>
        </is>
      </c>
      <c r="E328" s="306" t="inlineStr">
        <is>
          <t>Посуда</t>
        </is>
      </c>
      <c r="F328" s="306" t="inlineStr">
        <is>
          <t>Метод</t>
        </is>
      </c>
    </row>
    <row r="329">
      <c r="A329" s="369" t="inlineStr">
        <is>
          <t>Mimosa</t>
        </is>
      </c>
      <c r="B329" s="421" t="inlineStr">
        <is>
          <t>Апельсин фреш</t>
        </is>
      </c>
      <c r="C329" s="307" t="n">
        <v>50</v>
      </c>
      <c r="D329" s="307" t="inlineStr">
        <is>
          <t>н/а</t>
        </is>
      </c>
      <c r="E329" s="307" t="inlineStr">
        <is>
          <t>Флюте</t>
        </is>
      </c>
      <c r="F329" s="307" t="inlineStr">
        <is>
          <t>Билд</t>
        </is>
      </c>
    </row>
    <row r="330">
      <c r="A330" s="301" t="n"/>
      <c r="B330" s="421" t="inlineStr">
        <is>
          <t>Casa defra ( просекко )</t>
        </is>
      </c>
      <c r="C330" s="307" t="n">
        <v>100</v>
      </c>
      <c r="D330" s="303" t="n"/>
      <c r="E330" s="303" t="n"/>
      <c r="F330" s="303" t="n"/>
    </row>
    <row r="331">
      <c r="A331" s="305" t="inlineStr">
        <is>
          <t>Название</t>
        </is>
      </c>
      <c r="B331" s="306" t="inlineStr">
        <is>
          <t>Ингредиент</t>
        </is>
      </c>
      <c r="C331" s="306" t="inlineStr">
        <is>
          <t>Кол-во</t>
        </is>
      </c>
      <c r="D331" s="306" t="inlineStr">
        <is>
          <t>Гарнир</t>
        </is>
      </c>
      <c r="E331" s="306" t="inlineStr">
        <is>
          <t>Посуда</t>
        </is>
      </c>
      <c r="F331" s="306" t="inlineStr">
        <is>
          <t>Метод</t>
        </is>
      </c>
    </row>
    <row r="332">
      <c r="A332" s="369" t="inlineStr">
        <is>
          <t>Mint Julep</t>
        </is>
      </c>
      <c r="B332" s="421" t="inlineStr">
        <is>
          <t>Old Virginia ( бурбон )</t>
        </is>
      </c>
      <c r="C332" s="307" t="n">
        <v>60</v>
      </c>
      <c r="D332" s="307" t="inlineStr">
        <is>
          <t>Мята</t>
        </is>
      </c>
      <c r="E332" s="307" t="inlineStr">
        <is>
          <t>Джулеп</t>
        </is>
      </c>
      <c r="F332" s="307" t="inlineStr">
        <is>
          <t>Свизл</t>
        </is>
      </c>
    </row>
    <row r="333">
      <c r="A333" s="301" t="n"/>
      <c r="B333" s="421" t="inlineStr">
        <is>
          <t>Мята</t>
        </is>
      </c>
      <c r="C333" s="307" t="n">
        <v>7</v>
      </c>
      <c r="D333" s="303" t="n"/>
      <c r="E333" s="303" t="n"/>
      <c r="F333" s="303" t="n"/>
    </row>
    <row r="334">
      <c r="A334" s="301" t="n"/>
      <c r="B334" s="421" t="inlineStr">
        <is>
          <t>Сироп сахар</t>
        </is>
      </c>
      <c r="C334" s="307" t="n">
        <v>10</v>
      </c>
      <c r="D334" s="303" t="n"/>
      <c r="E334" s="303" t="n"/>
      <c r="F334" s="303" t="n"/>
    </row>
    <row r="335">
      <c r="A335" s="305" t="inlineStr">
        <is>
          <t>Название</t>
        </is>
      </c>
      <c r="B335" s="306" t="inlineStr">
        <is>
          <t>Ингредиент</t>
        </is>
      </c>
      <c r="C335" s="306" t="inlineStr">
        <is>
          <t>Кол-во</t>
        </is>
      </c>
      <c r="D335" s="306" t="inlineStr">
        <is>
          <t>Гарнир</t>
        </is>
      </c>
      <c r="E335" s="306" t="inlineStr">
        <is>
          <t>Посуда</t>
        </is>
      </c>
      <c r="F335" s="306" t="inlineStr">
        <is>
          <t>Метод</t>
        </is>
      </c>
    </row>
    <row r="336">
      <c r="A336" s="369" t="inlineStr">
        <is>
          <t>Mojito</t>
        </is>
      </c>
      <c r="B336" s="421" t="inlineStr">
        <is>
          <t>Plantation 3 star ( ром )</t>
        </is>
      </c>
      <c r="C336" s="307" t="n">
        <v>60</v>
      </c>
      <c r="D336" s="307" t="inlineStr">
        <is>
          <t>Мята 5 грм</t>
        </is>
      </c>
      <c r="E336" s="307" t="inlineStr">
        <is>
          <t>Хайболл</t>
        </is>
      </c>
      <c r="F336" s="307" t="inlineStr">
        <is>
          <t>Свизл</t>
        </is>
      </c>
    </row>
    <row r="337">
      <c r="A337" s="301" t="n"/>
      <c r="B337" s="421" t="inlineStr">
        <is>
          <t>Сок лайма</t>
        </is>
      </c>
      <c r="C337" s="307" t="n">
        <v>30</v>
      </c>
      <c r="D337" s="303" t="n"/>
      <c r="E337" s="303" t="n"/>
      <c r="F337" s="303" t="n"/>
    </row>
    <row r="338">
      <c r="A338" s="301" t="n"/>
      <c r="B338" s="421" t="inlineStr">
        <is>
          <t>Сироп сахар</t>
        </is>
      </c>
      <c r="C338" s="307" t="n">
        <v>25</v>
      </c>
      <c r="D338" s="303" t="n"/>
      <c r="E338" s="303" t="n"/>
      <c r="F338" s="303" t="n"/>
    </row>
    <row r="339">
      <c r="A339" s="301" t="n"/>
      <c r="B339" s="421" t="inlineStr">
        <is>
          <t>Мята</t>
        </is>
      </c>
      <c r="C339" s="307" t="n">
        <v>10</v>
      </c>
      <c r="D339" s="303" t="n"/>
      <c r="E339" s="303" t="n"/>
      <c r="F339" s="303" t="n"/>
    </row>
    <row r="340">
      <c r="A340" s="301" t="n"/>
      <c r="B340" s="421" t="inlineStr">
        <is>
          <t>содовая ( Ledenev )</t>
        </is>
      </c>
      <c r="C340" s="307" t="n">
        <v>60</v>
      </c>
      <c r="D340" s="303" t="n"/>
      <c r="E340" s="303" t="n"/>
      <c r="F340" s="303" t="n"/>
    </row>
    <row r="341">
      <c r="A341" s="305" t="inlineStr">
        <is>
          <t>Название</t>
        </is>
      </c>
      <c r="B341" s="306" t="inlineStr">
        <is>
          <t>Ингредиент</t>
        </is>
      </c>
      <c r="C341" s="306" t="inlineStr">
        <is>
          <t>Кол-во</t>
        </is>
      </c>
      <c r="D341" s="306" t="inlineStr">
        <is>
          <t>Гарнир</t>
        </is>
      </c>
      <c r="E341" s="306" t="inlineStr">
        <is>
          <t>Посуда</t>
        </is>
      </c>
      <c r="F341" s="306" t="inlineStr">
        <is>
          <t>Метод</t>
        </is>
      </c>
    </row>
    <row r="342">
      <c r="A342" s="320" t="inlineStr">
        <is>
          <t>Morning Glory Fizz</t>
        </is>
      </c>
      <c r="B342" s="421" t="inlineStr">
        <is>
          <t>Dewar's white lable</t>
        </is>
      </c>
      <c r="C342" s="307" t="n">
        <v>50</v>
      </c>
      <c r="D342" s="307" t="inlineStr">
        <is>
          <t>Мята 5 грм</t>
        </is>
      </c>
      <c r="E342" s="307" t="inlineStr">
        <is>
          <t>Хайболл</t>
        </is>
      </c>
      <c r="F342" s="307" t="inlineStr">
        <is>
          <t>Шейк - Топ</t>
        </is>
      </c>
    </row>
    <row r="343">
      <c r="A343" s="301" t="n"/>
      <c r="B343" s="421" t="inlineStr">
        <is>
          <t>Amsenthe</t>
        </is>
      </c>
      <c r="C343" s="307" t="n">
        <v>10</v>
      </c>
      <c r="D343" s="303" t="n"/>
      <c r="E343" s="303" t="n"/>
      <c r="F343" s="303" t="n"/>
    </row>
    <row r="344">
      <c r="A344" s="301" t="n"/>
      <c r="B344" s="421" t="inlineStr">
        <is>
          <t>Сок лимона</t>
        </is>
      </c>
      <c r="C344" s="307" t="n">
        <v>30</v>
      </c>
      <c r="D344" s="303" t="n"/>
      <c r="E344" s="303" t="n"/>
      <c r="F344" s="303" t="n"/>
    </row>
    <row r="345">
      <c r="A345" s="301" t="n"/>
      <c r="B345" s="421" t="inlineStr">
        <is>
          <t>Сироп сахар</t>
        </is>
      </c>
      <c r="C345" s="307" t="n">
        <v>20</v>
      </c>
      <c r="D345" s="303" t="n"/>
      <c r="E345" s="303" t="n"/>
      <c r="F345" s="303" t="n"/>
    </row>
    <row r="346">
      <c r="A346" s="301" t="n"/>
      <c r="B346" s="363" t="inlineStr">
        <is>
          <t>Баблдропс</t>
        </is>
      </c>
      <c r="C346" s="383" t="n">
        <v>5</v>
      </c>
      <c r="D346" s="303" t="n"/>
      <c r="E346" s="303" t="n"/>
      <c r="F346" s="303" t="n"/>
    </row>
    <row r="347">
      <c r="A347" s="301" t="n"/>
      <c r="B347" s="421" t="inlineStr">
        <is>
          <t>содовая ( Ledenev )</t>
        </is>
      </c>
      <c r="C347" s="307" t="n">
        <v>50</v>
      </c>
      <c r="D347" s="303" t="n"/>
      <c r="E347" s="303" t="n"/>
      <c r="F347" s="303" t="n"/>
    </row>
    <row r="348">
      <c r="A348" s="305" t="inlineStr">
        <is>
          <t>Название</t>
        </is>
      </c>
      <c r="B348" s="306" t="inlineStr">
        <is>
          <t>Ингредиент</t>
        </is>
      </c>
      <c r="C348" s="306" t="inlineStr">
        <is>
          <t>Кол-во</t>
        </is>
      </c>
      <c r="D348" s="306" t="inlineStr">
        <is>
          <t>Гарнир</t>
        </is>
      </c>
      <c r="E348" s="306" t="inlineStr">
        <is>
          <t>Посуда</t>
        </is>
      </c>
      <c r="F348" s="306" t="inlineStr">
        <is>
          <t>Метод</t>
        </is>
      </c>
    </row>
    <row r="349">
      <c r="A349" s="320" t="inlineStr">
        <is>
          <t>Moscow Mule</t>
        </is>
      </c>
      <c r="B349" s="421" t="inlineStr">
        <is>
          <t>Tundra ( vodka )</t>
        </is>
      </c>
      <c r="C349" s="307" t="n">
        <v>50</v>
      </c>
      <c r="D349" s="307" t="inlineStr">
        <is>
          <t>Лайм слайс 20 грм</t>
        </is>
      </c>
      <c r="E349" s="307" t="inlineStr">
        <is>
          <t>Хайболл</t>
        </is>
      </c>
      <c r="F349" s="307" t="inlineStr">
        <is>
          <t>Шейк - Топ</t>
        </is>
      </c>
    </row>
    <row r="350">
      <c r="A350" s="301" t="n"/>
      <c r="B350" s="421" t="inlineStr">
        <is>
          <t>Сок лайма</t>
        </is>
      </c>
      <c r="C350" s="307" t="n">
        <v>20</v>
      </c>
      <c r="D350" s="303" t="n"/>
      <c r="E350" s="303" t="n"/>
      <c r="F350" s="303" t="n"/>
    </row>
    <row r="351">
      <c r="A351" s="301" t="n"/>
      <c r="B351" s="421" t="inlineStr">
        <is>
          <t>Имбирь фреш</t>
        </is>
      </c>
      <c r="C351" s="307" t="n">
        <v>15</v>
      </c>
      <c r="D351" s="303" t="n"/>
      <c r="E351" s="303" t="n"/>
      <c r="F351" s="303" t="n"/>
    </row>
    <row r="352">
      <c r="A352" s="301" t="n"/>
      <c r="B352" s="421" t="inlineStr">
        <is>
          <t xml:space="preserve">Сироп медовый </t>
        </is>
      </c>
      <c r="C352" s="307" t="n">
        <v>15</v>
      </c>
      <c r="D352" s="303" t="n"/>
      <c r="E352" s="303" t="n"/>
      <c r="F352" s="303" t="n"/>
    </row>
    <row r="353">
      <c r="A353" s="301" t="n"/>
      <c r="B353" s="421" t="inlineStr">
        <is>
          <t>Ангостура биттер</t>
        </is>
      </c>
      <c r="C353" s="307" t="n">
        <v>2</v>
      </c>
      <c r="D353" s="303" t="n"/>
      <c r="E353" s="303" t="n"/>
      <c r="F353" s="303" t="n"/>
    </row>
    <row r="354">
      <c r="A354" s="301" t="n"/>
      <c r="B354" s="359" t="inlineStr">
        <is>
          <t>Rich tonic 0,33</t>
        </is>
      </c>
      <c r="C354" s="383" t="inlineStr">
        <is>
          <t>1 шт</t>
        </is>
      </c>
      <c r="D354" s="303" t="n"/>
      <c r="E354" s="303" t="n"/>
      <c r="F354" s="303" t="n"/>
    </row>
    <row r="355">
      <c r="A355" s="305" t="inlineStr">
        <is>
          <t>Название</t>
        </is>
      </c>
      <c r="B355" s="306" t="inlineStr">
        <is>
          <t>Ингредиент</t>
        </is>
      </c>
      <c r="C355" s="306" t="inlineStr">
        <is>
          <t>Кол-во</t>
        </is>
      </c>
      <c r="D355" s="306" t="inlineStr">
        <is>
          <t>Гарнир</t>
        </is>
      </c>
      <c r="E355" s="306" t="inlineStr">
        <is>
          <t>Посуда</t>
        </is>
      </c>
      <c r="F355" s="306" t="inlineStr">
        <is>
          <t>Метод</t>
        </is>
      </c>
    </row>
    <row r="356">
      <c r="A356" s="320" t="inlineStr">
        <is>
          <t>Mary Pickford</t>
        </is>
      </c>
      <c r="B356" s="421" t="inlineStr">
        <is>
          <t>Plantation 3 star ( ром )</t>
        </is>
      </c>
      <c r="C356" s="307" t="n">
        <v>60</v>
      </c>
      <c r="D356" s="307" t="inlineStr">
        <is>
          <t>Вишня мараскиновая 10 грм</t>
        </is>
      </c>
      <c r="E356" s="307" t="inlineStr">
        <is>
          <t>Купе</t>
        </is>
      </c>
      <c r="F356" s="307" t="inlineStr">
        <is>
          <t>Шейк</t>
        </is>
      </c>
    </row>
    <row r="357">
      <c r="A357" s="301" t="n"/>
      <c r="B357" s="421" t="inlineStr">
        <is>
          <t>Bols maraschino</t>
        </is>
      </c>
      <c r="C357" s="307" t="n">
        <v>10</v>
      </c>
      <c r="D357" s="303" t="n"/>
      <c r="E357" s="303" t="n"/>
      <c r="F357" s="303" t="n"/>
    </row>
    <row r="358">
      <c r="A358" s="301" t="n"/>
      <c r="B358" s="363" t="inlineStr">
        <is>
          <t>Пюре  ананас</t>
        </is>
      </c>
      <c r="C358" s="383" t="n">
        <v>60</v>
      </c>
      <c r="D358" s="303" t="n"/>
      <c r="E358" s="303" t="n"/>
      <c r="F358" s="303" t="n"/>
    </row>
    <row r="359">
      <c r="A359" s="301" t="n"/>
      <c r="B359" s="421" t="inlineStr">
        <is>
          <t xml:space="preserve">Сок Лимона </t>
        </is>
      </c>
      <c r="C359" s="307" t="n">
        <v>20</v>
      </c>
      <c r="D359" s="303" t="n"/>
      <c r="E359" s="303" t="n"/>
      <c r="F359" s="303" t="n"/>
    </row>
    <row r="360">
      <c r="A360" s="301" t="n"/>
      <c r="B360" s="363" t="inlineStr">
        <is>
          <t>Сироп ваниль</t>
        </is>
      </c>
      <c r="C360" s="383" t="n">
        <v>15</v>
      </c>
      <c r="D360" s="303" t="n"/>
      <c r="E360" s="303" t="n"/>
      <c r="F360" s="303" t="n"/>
    </row>
    <row r="361">
      <c r="A361" s="301" t="n"/>
      <c r="B361" s="421" t="inlineStr">
        <is>
          <t>Сироп гренадин</t>
        </is>
      </c>
      <c r="C361" s="307" t="n">
        <v>10</v>
      </c>
      <c r="D361" s="303" t="n"/>
      <c r="E361" s="303" t="n"/>
      <c r="F361" s="303" t="n"/>
    </row>
    <row r="362">
      <c r="A362" s="326" t="inlineStr">
        <is>
          <t>Назание</t>
        </is>
      </c>
      <c r="B362" s="506" t="inlineStr">
        <is>
          <t>Ингридиенты</t>
        </is>
      </c>
      <c r="C362" s="506" t="inlineStr">
        <is>
          <t>кол-во</t>
        </is>
      </c>
      <c r="D362" s="506" t="inlineStr">
        <is>
          <t>Гарнир</t>
        </is>
      </c>
      <c r="E362" s="506" t="inlineStr">
        <is>
          <t>Посуда</t>
        </is>
      </c>
      <c r="F362" s="506" t="inlineStr">
        <is>
          <t>Метод</t>
        </is>
      </c>
    </row>
    <row r="363">
      <c r="A363" s="320" t="inlineStr">
        <is>
          <t>New York sour</t>
        </is>
      </c>
      <c r="B363" s="421" t="inlineStr">
        <is>
          <t>Old Virginia ( бурбон )</t>
        </is>
      </c>
      <c r="C363" s="328" t="n">
        <v>50</v>
      </c>
      <c r="D363" s="328" t="inlineStr">
        <is>
          <t>н/а</t>
        </is>
      </c>
      <c r="E363" s="328" t="inlineStr">
        <is>
          <t>Рокс</t>
        </is>
      </c>
      <c r="F363" s="328" t="inlineStr">
        <is>
          <t>Шейк</t>
        </is>
      </c>
    </row>
    <row r="364">
      <c r="A364" s="136" t="n"/>
      <c r="B364" s="421" t="inlineStr">
        <is>
          <t>Фреш лимон</t>
        </is>
      </c>
      <c r="C364" s="328" t="n">
        <v>25</v>
      </c>
      <c r="D364" s="329" t="n"/>
      <c r="E364" s="329" t="n"/>
      <c r="F364" s="329" t="n"/>
    </row>
    <row r="365">
      <c r="A365" s="136" t="n"/>
      <c r="B365" s="421" t="inlineStr">
        <is>
          <t>Сироп сахар</t>
        </is>
      </c>
      <c r="C365" s="328" t="n">
        <v>15</v>
      </c>
      <c r="D365" s="329" t="n"/>
      <c r="E365" s="329" t="n"/>
      <c r="F365" s="329" t="n"/>
    </row>
    <row r="366">
      <c r="A366" s="136" t="n"/>
      <c r="B366" s="363" t="inlineStr">
        <is>
          <t>Баблдропс</t>
        </is>
      </c>
      <c r="C366" s="389" t="n">
        <v>3</v>
      </c>
      <c r="D366" s="329" t="n"/>
      <c r="E366" s="329" t="n"/>
      <c r="F366" s="329" t="n"/>
    </row>
    <row r="367">
      <c r="A367" s="136" t="n"/>
      <c r="B367" s="421" t="inlineStr">
        <is>
          <t>Santa Carolina ( вино/красное )</t>
        </is>
      </c>
      <c r="C367" s="328" t="n">
        <v>20</v>
      </c>
      <c r="D367" s="329" t="n"/>
      <c r="E367" s="329" t="n"/>
      <c r="F367" s="329" t="n"/>
    </row>
    <row r="368">
      <c r="A368" s="305" t="inlineStr">
        <is>
          <t>Название</t>
        </is>
      </c>
      <c r="B368" s="306" t="inlineStr">
        <is>
          <t>Ингредиент</t>
        </is>
      </c>
      <c r="C368" s="306" t="inlineStr">
        <is>
          <t>Кол-во</t>
        </is>
      </c>
      <c r="D368" s="306" t="inlineStr">
        <is>
          <t>Гарнир</t>
        </is>
      </c>
      <c r="E368" s="306" t="inlineStr">
        <is>
          <t>Посуда</t>
        </is>
      </c>
      <c r="F368" s="306" t="inlineStr">
        <is>
          <t>Метод</t>
        </is>
      </c>
    </row>
    <row r="369">
      <c r="A369" s="369" t="inlineStr">
        <is>
          <t>Negroni</t>
        </is>
      </c>
      <c r="B369" s="296" t="inlineStr">
        <is>
          <t>Bosford ( джин )</t>
        </is>
      </c>
      <c r="C369" s="307" t="n">
        <v>40</v>
      </c>
      <c r="D369" s="307" t="inlineStr">
        <is>
          <t>Цедра апельсина</t>
        </is>
      </c>
      <c r="E369" s="307" t="inlineStr">
        <is>
          <t>Рокс</t>
        </is>
      </c>
      <c r="F369" s="307" t="inlineStr">
        <is>
          <t>Стир</t>
        </is>
      </c>
    </row>
    <row r="370">
      <c r="A370" s="301" t="n"/>
      <c r="B370" s="421" t="inlineStr">
        <is>
          <t>Campari</t>
        </is>
      </c>
      <c r="C370" s="307" t="n">
        <v>25</v>
      </c>
      <c r="D370" s="303" t="n"/>
      <c r="E370" s="303" t="n"/>
      <c r="F370" s="303" t="n"/>
    </row>
    <row r="371">
      <c r="A371" s="301" t="n"/>
      <c r="B371" s="421" t="inlineStr">
        <is>
          <t>Martini rosso</t>
        </is>
      </c>
      <c r="C371" s="307" t="n">
        <v>25</v>
      </c>
      <c r="D371" s="303" t="n"/>
      <c r="E371" s="303" t="n"/>
      <c r="F371" s="303" t="n"/>
    </row>
    <row r="372">
      <c r="A372" s="305" t="inlineStr">
        <is>
          <t>Название</t>
        </is>
      </c>
      <c r="B372" s="306" t="inlineStr">
        <is>
          <t>Ингредиент</t>
        </is>
      </c>
      <c r="C372" s="306" t="inlineStr">
        <is>
          <t>Кол-во</t>
        </is>
      </c>
      <c r="D372" s="306" t="inlineStr">
        <is>
          <t>Гарнир</t>
        </is>
      </c>
      <c r="E372" s="306" t="inlineStr">
        <is>
          <t>Посуда</t>
        </is>
      </c>
      <c r="F372" s="306" t="inlineStr">
        <is>
          <t>Метод</t>
        </is>
      </c>
    </row>
    <row r="373">
      <c r="A373" s="369" t="inlineStr">
        <is>
          <t>Negroni Sbagliato</t>
        </is>
      </c>
      <c r="B373" s="296" t="inlineStr">
        <is>
          <t>Bosford ( джин )</t>
        </is>
      </c>
      <c r="C373" s="307" t="n">
        <v>10</v>
      </c>
      <c r="D373" s="307" t="inlineStr">
        <is>
          <t>Цедра апельсина</t>
        </is>
      </c>
      <c r="E373" s="307" t="inlineStr">
        <is>
          <t>Рокс</t>
        </is>
      </c>
      <c r="F373" s="307" t="inlineStr">
        <is>
          <t>Стир - Топ</t>
        </is>
      </c>
    </row>
    <row r="374">
      <c r="A374" s="301" t="n"/>
      <c r="B374" s="421" t="inlineStr">
        <is>
          <t>Martini rosso</t>
        </is>
      </c>
      <c r="C374" s="307" t="n">
        <v>30</v>
      </c>
      <c r="D374" s="303" t="n"/>
      <c r="E374" s="303" t="n"/>
      <c r="F374" s="303" t="n"/>
    </row>
    <row r="375">
      <c r="A375" s="301" t="n"/>
      <c r="B375" s="421" t="inlineStr">
        <is>
          <t>Campari</t>
        </is>
      </c>
      <c r="C375" s="307" t="n">
        <v>30</v>
      </c>
      <c r="D375" s="303" t="n"/>
      <c r="E375" s="303" t="n"/>
      <c r="F375" s="303" t="n"/>
    </row>
    <row r="376">
      <c r="A376" s="301" t="n"/>
      <c r="B376" s="421" t="inlineStr">
        <is>
          <t>Casa defra ( просекко )</t>
        </is>
      </c>
      <c r="C376" s="307" t="n">
        <v>50</v>
      </c>
      <c r="D376" s="303" t="n"/>
      <c r="E376" s="303" t="n"/>
      <c r="F376" s="303" t="n"/>
    </row>
    <row r="377">
      <c r="A377" s="305" t="inlineStr">
        <is>
          <t>Название</t>
        </is>
      </c>
      <c r="B377" s="306" t="inlineStr">
        <is>
          <t>Ингредиент</t>
        </is>
      </c>
      <c r="C377" s="306" t="inlineStr">
        <is>
          <t>Кол-во</t>
        </is>
      </c>
      <c r="D377" s="306" t="inlineStr">
        <is>
          <t>Гарнир</t>
        </is>
      </c>
      <c r="E377" s="306" t="inlineStr">
        <is>
          <t>Посуда</t>
        </is>
      </c>
      <c r="F377" s="306" t="inlineStr">
        <is>
          <t>Метод</t>
        </is>
      </c>
    </row>
    <row r="378">
      <c r="A378" s="369" t="inlineStr">
        <is>
          <t>Old Cuban</t>
        </is>
      </c>
      <c r="B378" s="421" t="inlineStr">
        <is>
          <t>Plantation 3 star ( ром )</t>
        </is>
      </c>
      <c r="C378" s="307" t="n">
        <v>45</v>
      </c>
      <c r="D378" s="307" t="inlineStr">
        <is>
          <t>Цедра апельсина</t>
        </is>
      </c>
      <c r="E378" s="307" t="inlineStr">
        <is>
          <t>Купе</t>
        </is>
      </c>
      <c r="F378" s="307" t="inlineStr">
        <is>
          <t>Шейк - Топ</t>
        </is>
      </c>
    </row>
    <row r="379">
      <c r="A379" s="301" t="n"/>
      <c r="B379" s="421" t="inlineStr">
        <is>
          <t>Сок лайма</t>
        </is>
      </c>
      <c r="C379" s="307" t="n">
        <v>25</v>
      </c>
      <c r="D379" s="303" t="n"/>
      <c r="E379" s="303" t="n"/>
      <c r="F379" s="303" t="n"/>
    </row>
    <row r="380">
      <c r="A380" s="301" t="n"/>
      <c r="B380" s="421" t="inlineStr">
        <is>
          <t>Сироп тросниковый сахар</t>
        </is>
      </c>
      <c r="C380" s="307" t="n">
        <v>20</v>
      </c>
      <c r="D380" s="303" t="n"/>
      <c r="E380" s="303" t="n"/>
      <c r="F380" s="303" t="n"/>
    </row>
    <row r="381">
      <c r="A381" s="301" t="n"/>
      <c r="B381" s="421" t="inlineStr">
        <is>
          <t>Мята</t>
        </is>
      </c>
      <c r="C381" s="307" t="n">
        <v>5</v>
      </c>
      <c r="D381" s="303" t="n"/>
      <c r="E381" s="303" t="n"/>
      <c r="F381" s="303" t="n"/>
    </row>
    <row r="382">
      <c r="A382" s="301" t="n"/>
      <c r="B382" s="421" t="inlineStr">
        <is>
          <t>Angostura bitter</t>
        </is>
      </c>
      <c r="C382" s="307" t="n">
        <v>2</v>
      </c>
      <c r="D382" s="303" t="n"/>
      <c r="E382" s="303" t="n"/>
      <c r="F382" s="303" t="n"/>
    </row>
    <row r="383">
      <c r="A383" s="301" t="n"/>
      <c r="B383" s="421" t="inlineStr">
        <is>
          <t>Casa defra ( просекко )</t>
        </is>
      </c>
      <c r="C383" s="307" t="n">
        <v>100</v>
      </c>
      <c r="D383" s="303" t="n"/>
      <c r="E383" s="303" t="n"/>
      <c r="F383" s="303" t="n"/>
    </row>
    <row r="384">
      <c r="A384" s="305" t="inlineStr">
        <is>
          <t>Название</t>
        </is>
      </c>
      <c r="B384" s="306" t="inlineStr">
        <is>
          <t>Ингредиент</t>
        </is>
      </c>
      <c r="C384" s="306" t="inlineStr">
        <is>
          <t>Кол-во</t>
        </is>
      </c>
      <c r="D384" s="306" t="inlineStr">
        <is>
          <t>Гарнир</t>
        </is>
      </c>
      <c r="E384" s="306" t="inlineStr">
        <is>
          <t>Посуда</t>
        </is>
      </c>
      <c r="F384" s="306" t="inlineStr">
        <is>
          <t>Метод</t>
        </is>
      </c>
    </row>
    <row r="385">
      <c r="A385" s="369" t="inlineStr">
        <is>
          <t>Old Fashioned</t>
        </is>
      </c>
      <c r="B385" s="421" t="inlineStr">
        <is>
          <t>Old Virginia ( бурбон )</t>
        </is>
      </c>
      <c r="C385" s="307" t="n">
        <v>60</v>
      </c>
      <c r="D385" s="307" t="inlineStr">
        <is>
          <t>Цедра апельсина</t>
        </is>
      </c>
      <c r="E385" s="307" t="inlineStr">
        <is>
          <t>Рокс</t>
        </is>
      </c>
      <c r="F385" s="307" t="inlineStr">
        <is>
          <t>Стир</t>
        </is>
      </c>
    </row>
    <row r="386">
      <c r="A386" s="301" t="n"/>
      <c r="B386" s="421" t="inlineStr">
        <is>
          <t>Сироп тросниковый сахар</t>
        </is>
      </c>
      <c r="C386" s="307" t="n">
        <v>7</v>
      </c>
      <c r="D386" s="303" t="n"/>
      <c r="E386" s="303" t="n"/>
      <c r="F386" s="303" t="n"/>
    </row>
    <row r="387">
      <c r="A387" s="301" t="n"/>
      <c r="B387" s="421" t="inlineStr">
        <is>
          <t>Angostura bitter</t>
        </is>
      </c>
      <c r="C387" s="307" t="n">
        <v>3</v>
      </c>
      <c r="D387" s="303" t="n"/>
      <c r="E387" s="303" t="n"/>
      <c r="F387" s="303" t="n"/>
    </row>
    <row r="388">
      <c r="A388" s="301" t="n"/>
      <c r="B388" s="421" t="inlineStr">
        <is>
          <t>Angostura orange bitter</t>
        </is>
      </c>
      <c r="C388" s="307" t="n">
        <v>2</v>
      </c>
      <c r="D388" s="303" t="n"/>
      <c r="E388" s="303" t="n"/>
      <c r="F388" s="303" t="n"/>
    </row>
    <row r="389">
      <c r="A389" s="305" t="inlineStr">
        <is>
          <t>Название</t>
        </is>
      </c>
      <c r="B389" s="306" t="inlineStr">
        <is>
          <t>Ингредиент</t>
        </is>
      </c>
      <c r="C389" s="306" t="inlineStr">
        <is>
          <t>Кол-во</t>
        </is>
      </c>
      <c r="D389" s="306" t="inlineStr">
        <is>
          <t>Гарнир</t>
        </is>
      </c>
      <c r="E389" s="306" t="inlineStr">
        <is>
          <t>Посуда</t>
        </is>
      </c>
      <c r="F389" s="306" t="inlineStr">
        <is>
          <t>Метод</t>
        </is>
      </c>
    </row>
    <row r="390">
      <c r="A390" s="369" t="inlineStr">
        <is>
          <t>Old Pal</t>
        </is>
      </c>
      <c r="B390" s="421" t="inlineStr">
        <is>
          <t>Old Virginia ( бурбон )</t>
        </is>
      </c>
      <c r="C390" s="307" t="n">
        <v>45</v>
      </c>
      <c r="D390" s="307" t="inlineStr">
        <is>
          <t>Цедра лимона</t>
        </is>
      </c>
      <c r="E390" s="307" t="inlineStr">
        <is>
          <t>Ник и Нора</t>
        </is>
      </c>
      <c r="F390" s="307" t="inlineStr">
        <is>
          <t>Стир</t>
        </is>
      </c>
    </row>
    <row r="391">
      <c r="A391" s="301" t="n"/>
      <c r="B391" s="421" t="inlineStr">
        <is>
          <t>Martini extra dry</t>
        </is>
      </c>
      <c r="C391" s="307" t="n">
        <v>30</v>
      </c>
      <c r="D391" s="303" t="n"/>
      <c r="E391" s="303" t="n"/>
      <c r="F391" s="303" t="n"/>
    </row>
    <row r="392">
      <c r="A392" s="301" t="n"/>
      <c r="B392" s="421" t="inlineStr">
        <is>
          <t>Campari</t>
        </is>
      </c>
      <c r="C392" s="307" t="n">
        <v>30</v>
      </c>
      <c r="D392" s="303" t="n"/>
      <c r="E392" s="303" t="n"/>
      <c r="F392" s="303" t="n"/>
    </row>
    <row r="393">
      <c r="A393" s="305" t="inlineStr">
        <is>
          <t>Название</t>
        </is>
      </c>
      <c r="B393" s="306" t="inlineStr">
        <is>
          <t>Ингредиент</t>
        </is>
      </c>
      <c r="C393" s="306" t="inlineStr">
        <is>
          <t>Кол-во</t>
        </is>
      </c>
      <c r="D393" s="306" t="inlineStr">
        <is>
          <t>Гарнир</t>
        </is>
      </c>
      <c r="E393" s="306" t="inlineStr">
        <is>
          <t>Посуда</t>
        </is>
      </c>
      <c r="F393" s="306" t="inlineStr">
        <is>
          <t>Метод</t>
        </is>
      </c>
    </row>
    <row r="394">
      <c r="A394" s="369" t="inlineStr">
        <is>
          <t>Pegu Club</t>
        </is>
      </c>
      <c r="B394" s="296" t="inlineStr">
        <is>
          <t>Bosford ( джин )</t>
        </is>
      </c>
      <c r="C394" s="307" t="n">
        <v>50</v>
      </c>
      <c r="D394" s="307" t="inlineStr">
        <is>
          <t>Цедра ( эфир )лайма</t>
        </is>
      </c>
      <c r="E394" s="307" t="inlineStr">
        <is>
          <t>Ник и Нора</t>
        </is>
      </c>
      <c r="F394" s="307" t="inlineStr">
        <is>
          <t>Стир</t>
        </is>
      </c>
    </row>
    <row r="395">
      <c r="A395" s="301" t="n"/>
      <c r="B395" s="421" t="inlineStr">
        <is>
          <t>Cointreau</t>
        </is>
      </c>
      <c r="C395" s="307" t="n">
        <v>25</v>
      </c>
      <c r="D395" s="303" t="n"/>
      <c r="E395" s="303" t="n"/>
      <c r="F395" s="303" t="n"/>
    </row>
    <row r="396">
      <c r="A396" s="301" t="n"/>
      <c r="B396" s="421" t="inlineStr">
        <is>
          <t>Сок лайма</t>
        </is>
      </c>
      <c r="C396" s="307" t="n">
        <v>25</v>
      </c>
      <c r="D396" s="303" t="n"/>
      <c r="E396" s="303" t="n"/>
      <c r="F396" s="303" t="n"/>
    </row>
    <row r="397">
      <c r="A397" s="301" t="n"/>
      <c r="B397" s="421" t="inlineStr">
        <is>
          <t>Angostura bitter</t>
        </is>
      </c>
      <c r="C397" s="307" t="n">
        <v>2</v>
      </c>
      <c r="D397" s="303" t="n"/>
      <c r="E397" s="303" t="n"/>
      <c r="F397" s="303" t="n"/>
    </row>
    <row r="398">
      <c r="A398" s="301" t="n"/>
      <c r="B398" s="421" t="inlineStr">
        <is>
          <t>Angostura orange bitter</t>
        </is>
      </c>
      <c r="C398" s="307" t="n">
        <v>1</v>
      </c>
      <c r="D398" s="303" t="n"/>
      <c r="E398" s="303" t="n"/>
      <c r="F398" s="303" t="n"/>
    </row>
    <row r="399">
      <c r="A399" s="305" t="inlineStr">
        <is>
          <t>Название</t>
        </is>
      </c>
      <c r="B399" s="306" t="inlineStr">
        <is>
          <t>Ингредиент</t>
        </is>
      </c>
      <c r="C399" s="306" t="inlineStr">
        <is>
          <t>Кол-во</t>
        </is>
      </c>
      <c r="D399" s="306" t="inlineStr">
        <is>
          <t>Гарнир</t>
        </is>
      </c>
      <c r="E399" s="306" t="inlineStr">
        <is>
          <t>Посуда</t>
        </is>
      </c>
      <c r="F399" s="306" t="inlineStr">
        <is>
          <t>Метод</t>
        </is>
      </c>
    </row>
    <row r="400">
      <c r="A400" s="320" t="inlineStr">
        <is>
          <t>Penecillin</t>
        </is>
      </c>
      <c r="B400" s="421" t="inlineStr">
        <is>
          <t>Dewar's white lable</t>
        </is>
      </c>
      <c r="C400" s="307" t="n">
        <v>50</v>
      </c>
      <c r="D400" s="307" t="inlineStr">
        <is>
          <t>Цедра лимона</t>
        </is>
      </c>
      <c r="E400" s="307" t="inlineStr">
        <is>
          <t>Рокс</t>
        </is>
      </c>
      <c r="F400" s="307" t="inlineStr">
        <is>
          <t>Шейк - Топ</t>
        </is>
      </c>
    </row>
    <row r="401">
      <c r="A401" s="301" t="n"/>
      <c r="B401" s="421" t="inlineStr">
        <is>
          <t>Laphroaig 10</t>
        </is>
      </c>
      <c r="C401" s="307" t="n">
        <v>10</v>
      </c>
      <c r="D401" s="303" t="n"/>
      <c r="E401" s="303" t="n"/>
      <c r="F401" s="303" t="n"/>
    </row>
    <row r="402">
      <c r="A402" s="301" t="n"/>
      <c r="B402" s="421" t="inlineStr">
        <is>
          <t>Медовый сироп</t>
        </is>
      </c>
      <c r="C402" s="307" t="n">
        <v>15</v>
      </c>
      <c r="D402" s="303" t="n"/>
      <c r="E402" s="303" t="n"/>
      <c r="F402" s="303" t="n"/>
    </row>
    <row r="403">
      <c r="A403" s="301" t="n"/>
      <c r="B403" s="421" t="inlineStr">
        <is>
          <t>Сок лимона</t>
        </is>
      </c>
      <c r="C403" s="307" t="n">
        <v>20</v>
      </c>
      <c r="D403" s="303" t="n"/>
      <c r="E403" s="303" t="n"/>
      <c r="F403" s="303" t="n"/>
    </row>
    <row r="404">
      <c r="A404" s="301" t="n"/>
      <c r="B404" s="363" t="inlineStr">
        <is>
          <t>Баблдропс</t>
        </is>
      </c>
      <c r="C404" s="383" t="n">
        <v>3</v>
      </c>
      <c r="D404" s="303" t="n"/>
      <c r="E404" s="303" t="n"/>
      <c r="F404" s="303" t="n"/>
    </row>
    <row r="405">
      <c r="A405" s="301" t="n"/>
      <c r="B405" s="421" t="inlineStr">
        <is>
          <t>Фреш имбиря</t>
        </is>
      </c>
      <c r="C405" s="307" t="n">
        <v>15</v>
      </c>
      <c r="D405" s="303" t="n"/>
      <c r="E405" s="303" t="n"/>
      <c r="F405" s="303" t="n"/>
    </row>
    <row r="406">
      <c r="A406" s="326" t="inlineStr">
        <is>
          <t>Название</t>
        </is>
      </c>
      <c r="B406" s="506" t="inlineStr">
        <is>
          <t>Ингридиенты</t>
        </is>
      </c>
      <c r="C406" s="506" t="inlineStr">
        <is>
          <t>кол-во</t>
        </is>
      </c>
      <c r="D406" s="506" t="inlineStr">
        <is>
          <t>Гарнир</t>
        </is>
      </c>
      <c r="E406" s="506" t="inlineStr">
        <is>
          <t>Посуда</t>
        </is>
      </c>
      <c r="F406" s="506" t="inlineStr">
        <is>
          <t>Метод</t>
        </is>
      </c>
    </row>
    <row r="407">
      <c r="A407" s="369" t="inlineStr">
        <is>
          <t>Pedro Manhatten</t>
        </is>
      </c>
      <c r="B407" s="421" t="inlineStr">
        <is>
          <t>Old Virginia ( бурбон )</t>
        </is>
      </c>
      <c r="C407" s="328" t="n">
        <v>50</v>
      </c>
      <c r="D407" s="328" t="inlineStr">
        <is>
          <t>Вишня мараскиновая 10 грм</t>
        </is>
      </c>
      <c r="E407" s="328" t="inlineStr">
        <is>
          <t>Ник&amp;Нора</t>
        </is>
      </c>
      <c r="F407" s="328" t="inlineStr">
        <is>
          <t>Стир</t>
        </is>
      </c>
    </row>
    <row r="408">
      <c r="A408" s="136" t="n"/>
      <c r="B408" s="421" t="inlineStr">
        <is>
          <t>Barbadillo Pedro Ximenez</t>
        </is>
      </c>
      <c r="C408" s="328" t="n">
        <v>25</v>
      </c>
      <c r="D408" s="329" t="n"/>
      <c r="E408" s="329" t="n"/>
      <c r="F408" s="329" t="n"/>
    </row>
    <row r="409">
      <c r="A409" s="136" t="n"/>
      <c r="B409" s="421" t="inlineStr">
        <is>
          <t>Angostura bitter</t>
        </is>
      </c>
      <c r="C409" s="328" t="n">
        <v>3</v>
      </c>
      <c r="D409" s="329" t="n"/>
      <c r="E409" s="329" t="n"/>
      <c r="F409" s="329" t="n"/>
    </row>
    <row r="410">
      <c r="A410" s="305" t="inlineStr">
        <is>
          <t>Название</t>
        </is>
      </c>
      <c r="B410" s="306" t="inlineStr">
        <is>
          <t>Ингредиент</t>
        </is>
      </c>
      <c r="C410" s="306" t="inlineStr">
        <is>
          <t>Кол-во</t>
        </is>
      </c>
      <c r="D410" s="306" t="inlineStr">
        <is>
          <t>Гарнир</t>
        </is>
      </c>
      <c r="E410" s="306" t="inlineStr">
        <is>
          <t>Посуда</t>
        </is>
      </c>
      <c r="F410" s="306" t="inlineStr">
        <is>
          <t>Метод</t>
        </is>
      </c>
    </row>
    <row r="411">
      <c r="A411" s="369" t="inlineStr">
        <is>
          <t>Pink Gin</t>
        </is>
      </c>
      <c r="B411" s="296" t="inlineStr">
        <is>
          <t>Bosford ( джин )</t>
        </is>
      </c>
      <c r="C411" s="307" t="n">
        <v>60</v>
      </c>
      <c r="D411" s="307" t="inlineStr">
        <is>
          <t>н/а</t>
        </is>
      </c>
      <c r="E411" s="307" t="inlineStr">
        <is>
          <t>Ник и Нора</t>
        </is>
      </c>
      <c r="F411" s="307" t="inlineStr">
        <is>
          <t>Стир</t>
        </is>
      </c>
    </row>
    <row r="412">
      <c r="A412" s="301" t="n"/>
      <c r="B412" s="421" t="inlineStr">
        <is>
          <t>Angostura bitter</t>
        </is>
      </c>
      <c r="C412" s="307" t="n">
        <v>7</v>
      </c>
      <c r="D412" s="303" t="n"/>
      <c r="E412" s="303" t="n"/>
      <c r="F412" s="303" t="n"/>
    </row>
    <row r="413">
      <c r="A413" s="305" t="inlineStr">
        <is>
          <t>Название</t>
        </is>
      </c>
      <c r="B413" s="306" t="inlineStr">
        <is>
          <t>Ингредиент</t>
        </is>
      </c>
      <c r="C413" s="306" t="inlineStr">
        <is>
          <t>Кол-во</t>
        </is>
      </c>
      <c r="D413" s="306" t="inlineStr">
        <is>
          <t>Гарнир</t>
        </is>
      </c>
      <c r="E413" s="306" t="inlineStr">
        <is>
          <t>Посуда</t>
        </is>
      </c>
      <c r="F413" s="306" t="inlineStr">
        <is>
          <t>Метод</t>
        </is>
      </c>
    </row>
    <row r="414">
      <c r="A414" s="320" t="inlineStr">
        <is>
          <t>Pink Lady</t>
        </is>
      </c>
      <c r="B414" s="296" t="inlineStr">
        <is>
          <t>Bosford ( джин )</t>
        </is>
      </c>
      <c r="C414" s="307" t="n">
        <v>50</v>
      </c>
      <c r="D414" s="307" t="inlineStr">
        <is>
          <t>Цедра грейпфрута</t>
        </is>
      </c>
      <c r="E414" s="307" t="inlineStr">
        <is>
          <t>Купе</t>
        </is>
      </c>
      <c r="F414" s="307" t="inlineStr">
        <is>
          <t>Шейк</t>
        </is>
      </c>
    </row>
    <row r="415">
      <c r="A415" s="301" t="n"/>
      <c r="B415" s="421" t="inlineStr">
        <is>
          <t>Calvados du Per lez VS</t>
        </is>
      </c>
      <c r="C415" s="307" t="n">
        <v>15</v>
      </c>
      <c r="D415" s="303" t="n"/>
      <c r="E415" s="303" t="n"/>
      <c r="F415" s="303" t="n"/>
    </row>
    <row r="416">
      <c r="A416" s="301" t="n"/>
      <c r="B416" s="421" t="inlineStr">
        <is>
          <t>Сок лимона</t>
        </is>
      </c>
      <c r="C416" s="307" t="n">
        <v>25</v>
      </c>
      <c r="D416" s="303" t="n"/>
      <c r="E416" s="303" t="n"/>
      <c r="F416" s="303" t="n"/>
    </row>
    <row r="417">
      <c r="A417" s="301" t="n"/>
      <c r="B417" s="421" t="inlineStr">
        <is>
          <t>Гренадин</t>
        </is>
      </c>
      <c r="C417" s="307" t="n">
        <v>10</v>
      </c>
      <c r="D417" s="303" t="n"/>
      <c r="E417" s="303" t="n"/>
      <c r="F417" s="303" t="n"/>
    </row>
    <row r="418">
      <c r="A418" s="301" t="n"/>
      <c r="B418" s="363" t="inlineStr">
        <is>
          <t>Баблдропс</t>
        </is>
      </c>
      <c r="C418" s="383" t="n">
        <v>3</v>
      </c>
      <c r="D418" s="303" t="n"/>
      <c r="E418" s="303" t="n"/>
      <c r="F418" s="303" t="n"/>
    </row>
    <row r="419">
      <c r="A419" s="305" t="inlineStr">
        <is>
          <t>Название</t>
        </is>
      </c>
      <c r="B419" s="306" t="inlineStr">
        <is>
          <t>Ингредиент</t>
        </is>
      </c>
      <c r="C419" s="306" t="inlineStr">
        <is>
          <t>Кол-во</t>
        </is>
      </c>
      <c r="D419" s="306" t="inlineStr">
        <is>
          <t>Гарнир</t>
        </is>
      </c>
      <c r="E419" s="306" t="inlineStr">
        <is>
          <t>Посуда</t>
        </is>
      </c>
      <c r="F419" s="306" t="inlineStr">
        <is>
          <t>Метод</t>
        </is>
      </c>
    </row>
    <row r="420">
      <c r="A420" s="320" t="inlineStr">
        <is>
          <t>Pisco Sour</t>
        </is>
      </c>
      <c r="B420" s="421" t="inlineStr">
        <is>
          <t>Pisco Mestrall</t>
        </is>
      </c>
      <c r="C420" s="307" t="n">
        <v>50</v>
      </c>
      <c r="D420" s="307" t="inlineStr">
        <is>
          <t>Ангостура биттер</t>
        </is>
      </c>
      <c r="E420" s="307" t="inlineStr">
        <is>
          <t>Купе</t>
        </is>
      </c>
      <c r="F420" s="307" t="inlineStr">
        <is>
          <t>Шейк</t>
        </is>
      </c>
    </row>
    <row r="421">
      <c r="A421" s="301" t="n"/>
      <c r="B421" s="421" t="inlineStr">
        <is>
          <t>Сок лимона</t>
        </is>
      </c>
      <c r="C421" s="307" t="n">
        <v>25</v>
      </c>
      <c r="D421" s="303" t="n"/>
      <c r="E421" s="303" t="n"/>
      <c r="F421" s="303" t="n"/>
    </row>
    <row r="422">
      <c r="A422" s="301" t="n"/>
      <c r="B422" s="421" t="inlineStr">
        <is>
          <t>Сироп сахар</t>
        </is>
      </c>
      <c r="C422" s="307" t="n">
        <v>20</v>
      </c>
      <c r="D422" s="303" t="n"/>
      <c r="E422" s="303" t="n"/>
      <c r="F422" s="303" t="n"/>
    </row>
    <row r="423">
      <c r="A423" s="301" t="n"/>
      <c r="B423" s="421" t="inlineStr">
        <is>
          <t>Angostura bitter</t>
        </is>
      </c>
      <c r="C423" s="307" t="n">
        <v>1</v>
      </c>
      <c r="D423" s="303" t="n"/>
      <c r="E423" s="303" t="n"/>
      <c r="F423" s="303" t="n"/>
    </row>
    <row r="424">
      <c r="A424" s="301" t="n"/>
      <c r="B424" s="363" t="inlineStr">
        <is>
          <t>Баблдропс</t>
        </is>
      </c>
      <c r="C424" s="383" t="n">
        <v>3</v>
      </c>
      <c r="D424" s="303" t="n"/>
      <c r="E424" s="303" t="n"/>
      <c r="F424" s="303" t="n"/>
    </row>
    <row r="425">
      <c r="A425" s="326" t="inlineStr">
        <is>
          <t>Название</t>
        </is>
      </c>
      <c r="B425" s="506" t="inlineStr">
        <is>
          <t>Ингридиенты</t>
        </is>
      </c>
      <c r="C425" s="506" t="inlineStr">
        <is>
          <t>кол-во</t>
        </is>
      </c>
      <c r="D425" s="506" t="inlineStr">
        <is>
          <t>Гарнир</t>
        </is>
      </c>
      <c r="E425" s="506" t="inlineStr">
        <is>
          <t>Посуда</t>
        </is>
      </c>
      <c r="F425" s="506" t="inlineStr">
        <is>
          <t>Метод</t>
        </is>
      </c>
    </row>
    <row r="426">
      <c r="A426" s="320" t="inlineStr">
        <is>
          <t>Pornstar</t>
        </is>
      </c>
      <c r="B426" s="421" t="inlineStr">
        <is>
          <t>Tundra ( vodka )</t>
        </is>
      </c>
      <c r="C426" s="328" t="n">
        <v>50</v>
      </c>
      <c r="D426" s="328" t="inlineStr">
        <is>
          <t>Маракуйя 1/4 35 грм</t>
        </is>
      </c>
      <c r="E426" s="328" t="inlineStr">
        <is>
          <t>Шале</t>
        </is>
      </c>
      <c r="F426" s="328" t="inlineStr">
        <is>
          <t>Шейк/Драй Шейк</t>
        </is>
      </c>
    </row>
    <row r="427">
      <c r="A427" s="136" t="n"/>
      <c r="B427" s="421" t="inlineStr">
        <is>
          <t>Пюре маракуйя</t>
        </is>
      </c>
      <c r="C427" s="328" t="n">
        <v>50</v>
      </c>
      <c r="D427" s="329" t="n"/>
      <c r="E427" s="329" t="n"/>
      <c r="F427" s="329" t="n"/>
    </row>
    <row r="428">
      <c r="A428" s="136" t="n"/>
      <c r="B428" s="421" t="inlineStr">
        <is>
          <t>Фрешь лимон</t>
        </is>
      </c>
      <c r="C428" s="328" t="n">
        <v>20</v>
      </c>
      <c r="D428" s="329" t="n"/>
      <c r="E428" s="329" t="n"/>
      <c r="F428" s="329" t="n"/>
    </row>
    <row r="429">
      <c r="A429" s="136" t="n"/>
      <c r="B429" s="421" t="inlineStr">
        <is>
          <t>Сироп ваниль</t>
        </is>
      </c>
      <c r="C429" s="328" t="n">
        <v>20</v>
      </c>
      <c r="D429" s="329" t="n"/>
      <c r="E429" s="329" t="n"/>
      <c r="F429" s="329" t="n"/>
    </row>
    <row r="430">
      <c r="A430" s="136" t="n"/>
      <c r="B430" s="363" t="inlineStr">
        <is>
          <t>Баблдропс</t>
        </is>
      </c>
      <c r="C430" s="389" t="n">
        <v>3</v>
      </c>
      <c r="D430" s="329" t="n"/>
      <c r="E430" s="329" t="n"/>
      <c r="F430" s="329" t="n"/>
    </row>
    <row r="431">
      <c r="A431" s="136" t="n"/>
      <c r="B431" s="421" t="inlineStr">
        <is>
          <t>Casa defra ( просекко )</t>
        </is>
      </c>
      <c r="C431" s="328" t="n">
        <v>60</v>
      </c>
      <c r="D431" s="329" t="n"/>
      <c r="E431" s="329" t="n"/>
      <c r="F431" s="329" t="n"/>
    </row>
    <row r="432">
      <c r="A432" s="305" t="inlineStr">
        <is>
          <t>Название</t>
        </is>
      </c>
      <c r="B432" s="306" t="inlineStr">
        <is>
          <t>Ингредиент</t>
        </is>
      </c>
      <c r="C432" s="306" t="inlineStr">
        <is>
          <t>Кол-во</t>
        </is>
      </c>
      <c r="D432" s="306" t="inlineStr">
        <is>
          <t>Гарнир</t>
        </is>
      </c>
      <c r="E432" s="306" t="inlineStr">
        <is>
          <t>Посуда</t>
        </is>
      </c>
      <c r="F432" s="306" t="inlineStr">
        <is>
          <t>Метод</t>
        </is>
      </c>
    </row>
    <row r="433">
      <c r="A433" s="369" t="inlineStr">
        <is>
          <t>Planters Punch</t>
        </is>
      </c>
      <c r="B433" s="421" t="inlineStr">
        <is>
          <t>Plantation 3 star ( ром )</t>
        </is>
      </c>
      <c r="C433" s="307" t="n">
        <v>60</v>
      </c>
      <c r="D433" s="307" t="inlineStr">
        <is>
          <t>Цедра лимона</t>
        </is>
      </c>
      <c r="E433" s="307" t="inlineStr">
        <is>
          <t>Купе</t>
        </is>
      </c>
      <c r="F433" s="307" t="inlineStr">
        <is>
          <t>Шейк</t>
        </is>
      </c>
    </row>
    <row r="434">
      <c r="A434" s="301" t="n"/>
      <c r="B434" s="421" t="inlineStr">
        <is>
          <t>Сок лимона</t>
        </is>
      </c>
      <c r="C434" s="307" t="n">
        <v>25</v>
      </c>
      <c r="D434" s="303" t="n"/>
      <c r="E434" s="303" t="n"/>
      <c r="F434" s="303" t="n"/>
    </row>
    <row r="435">
      <c r="A435" s="301" t="n"/>
      <c r="B435" s="421" t="inlineStr">
        <is>
          <t>Апельсин фреш</t>
        </is>
      </c>
      <c r="C435" s="307" t="n">
        <v>10</v>
      </c>
      <c r="D435" s="303" t="n"/>
      <c r="E435" s="303" t="n"/>
      <c r="F435" s="303" t="n"/>
    </row>
    <row r="436">
      <c r="A436" s="305" t="inlineStr">
        <is>
          <t>Название</t>
        </is>
      </c>
      <c r="B436" s="306" t="inlineStr">
        <is>
          <t>Ингредиент</t>
        </is>
      </c>
      <c r="C436" s="306" t="inlineStr">
        <is>
          <t>Кол-во</t>
        </is>
      </c>
      <c r="D436" s="306" t="inlineStr">
        <is>
          <t>Гарнир</t>
        </is>
      </c>
      <c r="E436" s="306" t="inlineStr">
        <is>
          <t>Посуда</t>
        </is>
      </c>
      <c r="F436" s="306" t="inlineStr">
        <is>
          <t>Метод</t>
        </is>
      </c>
    </row>
    <row r="437">
      <c r="A437" s="369" t="inlineStr">
        <is>
          <t>Presidente</t>
        </is>
      </c>
      <c r="B437" s="421" t="inlineStr">
        <is>
          <t>Okheart</t>
        </is>
      </c>
      <c r="C437" s="307" t="n">
        <v>45</v>
      </c>
      <c r="D437" s="307" t="inlineStr">
        <is>
          <t>Цедра апельсина</t>
        </is>
      </c>
      <c r="E437" s="307" t="inlineStr">
        <is>
          <t>Купе</t>
        </is>
      </c>
      <c r="F437" s="307" t="inlineStr">
        <is>
          <t>Стир</t>
        </is>
      </c>
    </row>
    <row r="438">
      <c r="A438" s="301" t="n"/>
      <c r="B438" s="421" t="inlineStr">
        <is>
          <t>Cointreau</t>
        </is>
      </c>
      <c r="C438" s="307" t="n">
        <v>15</v>
      </c>
      <c r="D438" s="303" t="n"/>
      <c r="E438" s="303" t="n"/>
      <c r="F438" s="303" t="n"/>
    </row>
    <row r="439">
      <c r="A439" s="301" t="n"/>
      <c r="B439" s="421" t="inlineStr">
        <is>
          <t>Martini rosso</t>
        </is>
      </c>
      <c r="C439" s="307" t="n">
        <v>15</v>
      </c>
      <c r="D439" s="303" t="n"/>
      <c r="E439" s="303" t="n"/>
      <c r="F439" s="303" t="n"/>
    </row>
    <row r="440">
      <c r="A440" s="301" t="n"/>
      <c r="B440" s="421" t="inlineStr">
        <is>
          <t>Angostura bitter</t>
        </is>
      </c>
      <c r="C440" s="307" t="n">
        <v>1</v>
      </c>
      <c r="D440" s="303" t="n"/>
      <c r="E440" s="303" t="n"/>
      <c r="F440" s="303" t="n"/>
    </row>
    <row r="441">
      <c r="A441" s="301" t="n"/>
      <c r="B441" s="421" t="inlineStr">
        <is>
          <t>Angostura orange bitter</t>
        </is>
      </c>
      <c r="C441" s="307" t="n">
        <v>3</v>
      </c>
      <c r="D441" s="303" t="n"/>
      <c r="E441" s="303" t="n"/>
      <c r="F441" s="303" t="n"/>
    </row>
    <row r="442">
      <c r="A442" s="301" t="n"/>
      <c r="B442" s="421" t="inlineStr">
        <is>
          <t>Гренадин</t>
        </is>
      </c>
      <c r="C442" s="307" t="n">
        <v>5</v>
      </c>
      <c r="D442" s="303" t="n"/>
      <c r="E442" s="303" t="n"/>
      <c r="F442" s="303" t="n"/>
    </row>
    <row r="443">
      <c r="A443" s="305" t="inlineStr">
        <is>
          <t>Название</t>
        </is>
      </c>
      <c r="B443" s="306" t="inlineStr">
        <is>
          <t>Ингредиент</t>
        </is>
      </c>
      <c r="C443" s="306" t="inlineStr">
        <is>
          <t>Кол-во</t>
        </is>
      </c>
      <c r="D443" s="306" t="inlineStr">
        <is>
          <t>Гарнир</t>
        </is>
      </c>
      <c r="E443" s="306" t="inlineStr">
        <is>
          <t>Посуда</t>
        </is>
      </c>
      <c r="F443" s="306" t="inlineStr">
        <is>
          <t>Метод</t>
        </is>
      </c>
    </row>
    <row r="444">
      <c r="A444" s="369" t="inlineStr">
        <is>
          <t>Pina Collada</t>
        </is>
      </c>
      <c r="B444" s="421" t="inlineStr">
        <is>
          <t>Plantation 3 star ( ром )</t>
        </is>
      </c>
      <c r="C444" s="307" t="n">
        <v>60</v>
      </c>
      <c r="D444" s="307" t="inlineStr">
        <is>
          <t>Лист бамбука 1 шт</t>
        </is>
      </c>
      <c r="E444" s="307" t="inlineStr">
        <is>
          <t>Винный бокал</t>
        </is>
      </c>
      <c r="F444" s="307" t="inlineStr">
        <is>
          <t>Блендер</t>
        </is>
      </c>
    </row>
    <row r="445">
      <c r="A445" s="301" t="n"/>
      <c r="B445" s="421" t="inlineStr">
        <is>
          <t>Cartron cocodi</t>
        </is>
      </c>
      <c r="C445" s="307" t="n">
        <v>20</v>
      </c>
      <c r="D445" s="321" t="inlineStr">
        <is>
          <t>Цедра апельсина</t>
        </is>
      </c>
      <c r="E445" s="303" t="n"/>
      <c r="F445" s="303" t="n"/>
    </row>
    <row r="446">
      <c r="A446" s="301" t="n"/>
      <c r="B446" s="421" t="inlineStr">
        <is>
          <t>Сироп сахар</t>
        </is>
      </c>
      <c r="C446" s="307" t="n">
        <v>10</v>
      </c>
      <c r="D446" s="303" t="n"/>
      <c r="E446" s="303" t="n"/>
      <c r="F446" s="303" t="n"/>
    </row>
    <row r="447">
      <c r="A447" s="301" t="n"/>
      <c r="B447" s="421" t="inlineStr">
        <is>
          <t>Сок лайма</t>
        </is>
      </c>
      <c r="C447" s="307" t="n">
        <v>10</v>
      </c>
      <c r="D447" s="303" t="n"/>
      <c r="E447" s="303" t="n"/>
      <c r="F447" s="303" t="n"/>
    </row>
    <row r="448">
      <c r="A448" s="301" t="n"/>
      <c r="B448" s="421" t="inlineStr">
        <is>
          <t>Ананас пюре</t>
        </is>
      </c>
      <c r="C448" s="307" t="n">
        <v>100</v>
      </c>
      <c r="D448" s="303" t="n"/>
      <c r="E448" s="303" t="n"/>
      <c r="F448" s="303" t="n"/>
    </row>
    <row r="449">
      <c r="A449" s="305" t="inlineStr">
        <is>
          <t>Название</t>
        </is>
      </c>
      <c r="B449" s="306" t="inlineStr">
        <is>
          <t>Ингредиент</t>
        </is>
      </c>
      <c r="C449" s="306" t="inlineStr">
        <is>
          <t>Кол-во</t>
        </is>
      </c>
      <c r="D449" s="306" t="inlineStr">
        <is>
          <t>Гарнир</t>
        </is>
      </c>
      <c r="E449" s="306" t="inlineStr">
        <is>
          <t>Посуда</t>
        </is>
      </c>
      <c r="F449" s="306" t="inlineStr">
        <is>
          <t>Метод</t>
        </is>
      </c>
    </row>
    <row r="450">
      <c r="A450" s="320" t="inlineStr">
        <is>
          <t>Ramos Gin Fizz</t>
        </is>
      </c>
      <c r="B450" s="296" t="inlineStr">
        <is>
          <t>Bosford ( джин )</t>
        </is>
      </c>
      <c r="C450" s="307" t="n">
        <v>60</v>
      </c>
      <c r="D450" s="307" t="inlineStr">
        <is>
          <t>н/а</t>
        </is>
      </c>
      <c r="E450" s="307" t="inlineStr">
        <is>
          <t>Хайболл</t>
        </is>
      </c>
      <c r="F450" s="307" t="inlineStr">
        <is>
          <t>Шейк - Топ</t>
        </is>
      </c>
    </row>
    <row r="451">
      <c r="A451" s="301" t="n"/>
      <c r="B451" s="421" t="inlineStr">
        <is>
          <t>Сок лимона</t>
        </is>
      </c>
      <c r="C451" s="307" t="n">
        <v>30</v>
      </c>
      <c r="D451" s="303" t="n"/>
      <c r="E451" s="303" t="n"/>
      <c r="F451" s="303" t="n"/>
    </row>
    <row r="452">
      <c r="A452" s="301" t="n"/>
      <c r="B452" s="421" t="inlineStr">
        <is>
          <t>Сироп сахар</t>
        </is>
      </c>
      <c r="C452" s="307" t="n">
        <v>30</v>
      </c>
      <c r="D452" s="303" t="n"/>
      <c r="E452" s="303" t="n"/>
      <c r="F452" s="303" t="n"/>
    </row>
    <row r="453">
      <c r="A453" s="301" t="n"/>
      <c r="B453" s="421" t="inlineStr">
        <is>
          <t>Сливки 11%</t>
        </is>
      </c>
      <c r="C453" s="307" t="n">
        <v>30</v>
      </c>
      <c r="D453" s="303" t="n"/>
      <c r="E453" s="303" t="n"/>
      <c r="F453" s="303" t="n"/>
    </row>
    <row r="454">
      <c r="A454" s="301" t="n"/>
      <c r="B454" s="363" t="inlineStr">
        <is>
          <t>Баблдропс</t>
        </is>
      </c>
      <c r="C454" s="383" t="n">
        <v>3</v>
      </c>
      <c r="D454" s="303" t="n"/>
      <c r="E454" s="303" t="n"/>
      <c r="F454" s="303" t="n"/>
    </row>
    <row r="455">
      <c r="A455" s="301" t="n"/>
      <c r="B455" s="421" t="inlineStr">
        <is>
          <t>содовая ( Ledenev )</t>
        </is>
      </c>
      <c r="C455" s="307" t="n">
        <v>50</v>
      </c>
      <c r="D455" s="303" t="n"/>
      <c r="E455" s="303" t="n"/>
      <c r="F455" s="303" t="n"/>
    </row>
    <row r="456">
      <c r="A456" s="305" t="inlineStr">
        <is>
          <t>Название</t>
        </is>
      </c>
      <c r="B456" s="306" t="inlineStr">
        <is>
          <t>Ингредиент</t>
        </is>
      </c>
      <c r="C456" s="306" t="inlineStr">
        <is>
          <t>Кол-во</t>
        </is>
      </c>
      <c r="D456" s="306" t="inlineStr">
        <is>
          <t>Гарнир</t>
        </is>
      </c>
      <c r="E456" s="306" t="inlineStr">
        <is>
          <t>Посуда</t>
        </is>
      </c>
      <c r="F456" s="306" t="inlineStr">
        <is>
          <t>Метод</t>
        </is>
      </c>
    </row>
    <row r="457">
      <c r="A457" s="369" t="inlineStr">
        <is>
          <t>Rob Roy</t>
        </is>
      </c>
      <c r="B457" s="296" t="inlineStr">
        <is>
          <t>Bosford ( джин )</t>
        </is>
      </c>
      <c r="C457" s="307" t="n">
        <v>60</v>
      </c>
      <c r="D457" s="307" t="inlineStr">
        <is>
          <t>Цедра апельсина</t>
        </is>
      </c>
      <c r="E457" s="307" t="inlineStr">
        <is>
          <t>Купе</t>
        </is>
      </c>
      <c r="F457" s="307" t="inlineStr">
        <is>
          <t>Стир</t>
        </is>
      </c>
    </row>
    <row r="458">
      <c r="A458" s="301" t="n"/>
      <c r="B458" s="421" t="inlineStr">
        <is>
          <t>Martini rosso</t>
        </is>
      </c>
      <c r="C458" s="307" t="n">
        <v>30</v>
      </c>
      <c r="D458" s="303" t="n"/>
      <c r="E458" s="303" t="n"/>
      <c r="F458" s="303" t="n"/>
    </row>
    <row r="459">
      <c r="A459" s="301" t="n"/>
      <c r="B459" s="421" t="inlineStr">
        <is>
          <t>Angostura bitter</t>
        </is>
      </c>
      <c r="C459" s="307" t="n">
        <v>3</v>
      </c>
      <c r="D459" s="303" t="n"/>
      <c r="E459" s="303" t="n"/>
      <c r="F459" s="303" t="n"/>
    </row>
    <row r="460">
      <c r="A460" s="305" t="inlineStr">
        <is>
          <t>Название</t>
        </is>
      </c>
      <c r="B460" s="306" t="inlineStr">
        <is>
          <t>Ингредиент</t>
        </is>
      </c>
      <c r="C460" s="306" t="inlineStr">
        <is>
          <t>Кол-во</t>
        </is>
      </c>
      <c r="D460" s="306" t="inlineStr">
        <is>
          <t>Гарнир</t>
        </is>
      </c>
      <c r="E460" s="306" t="inlineStr">
        <is>
          <t>Посуда</t>
        </is>
      </c>
      <c r="F460" s="306" t="inlineStr">
        <is>
          <t>Метод</t>
        </is>
      </c>
    </row>
    <row r="461">
      <c r="A461" s="369" t="inlineStr">
        <is>
          <t>Rusty Nail</t>
        </is>
      </c>
      <c r="B461" s="421" t="inlineStr">
        <is>
          <t>Dewar's white lable</t>
        </is>
      </c>
      <c r="C461" s="307" t="n">
        <v>60</v>
      </c>
      <c r="D461" s="307" t="inlineStr">
        <is>
          <t>Цедра лимона</t>
        </is>
      </c>
      <c r="E461" s="307" t="inlineStr">
        <is>
          <t>Рокс</t>
        </is>
      </c>
      <c r="F461" s="307" t="inlineStr">
        <is>
          <t>Стир</t>
        </is>
      </c>
    </row>
    <row r="462">
      <c r="A462" s="301" t="n"/>
      <c r="B462" s="421" t="inlineStr">
        <is>
          <t>Drambuie</t>
        </is>
      </c>
      <c r="C462" s="307" t="n">
        <v>30</v>
      </c>
      <c r="D462" s="303" t="n"/>
      <c r="E462" s="303" t="n"/>
      <c r="F462" s="303" t="n"/>
    </row>
    <row r="463">
      <c r="A463" s="305" t="inlineStr">
        <is>
          <t>Название</t>
        </is>
      </c>
      <c r="B463" s="306" t="inlineStr">
        <is>
          <t>Ингредиент</t>
        </is>
      </c>
      <c r="C463" s="306" t="inlineStr">
        <is>
          <t>Кол-во</t>
        </is>
      </c>
      <c r="D463" s="306" t="inlineStr">
        <is>
          <t>Гарнир</t>
        </is>
      </c>
      <c r="E463" s="306" t="inlineStr">
        <is>
          <t>Посуда</t>
        </is>
      </c>
      <c r="F463" s="306" t="inlineStr">
        <is>
          <t>Метод</t>
        </is>
      </c>
    </row>
    <row r="464">
      <c r="A464" s="369" t="inlineStr">
        <is>
          <t>Sazerac</t>
        </is>
      </c>
      <c r="B464" s="421" t="inlineStr">
        <is>
          <t>Martell VS ( коньяк )</t>
        </is>
      </c>
      <c r="C464" s="307" t="n">
        <v>60</v>
      </c>
      <c r="D464" s="307" t="inlineStr">
        <is>
          <t>Цедра лимона</t>
        </is>
      </c>
      <c r="E464" s="307" t="inlineStr">
        <is>
          <t>Рокс</t>
        </is>
      </c>
      <c r="F464" s="307" t="inlineStr">
        <is>
          <t>Сир</t>
        </is>
      </c>
    </row>
    <row r="465">
      <c r="A465" s="301" t="n"/>
      <c r="B465" s="421" t="inlineStr">
        <is>
          <t>Peychaund's bitter</t>
        </is>
      </c>
      <c r="C465" s="307" t="n">
        <v>3</v>
      </c>
      <c r="D465" s="303" t="n"/>
      <c r="E465" s="303" t="n"/>
      <c r="F465" s="303" t="n"/>
    </row>
    <row r="466">
      <c r="A466" s="301" t="n"/>
      <c r="B466" s="421" t="inlineStr">
        <is>
          <t>Absenthe</t>
        </is>
      </c>
      <c r="C466" s="307" t="n">
        <v>10</v>
      </c>
      <c r="D466" s="303" t="n"/>
      <c r="E466" s="303" t="n"/>
      <c r="F466" s="303" t="n"/>
    </row>
    <row r="467">
      <c r="A467" s="301" t="n"/>
      <c r="B467" s="421" t="inlineStr">
        <is>
          <t>Сироп сахар</t>
        </is>
      </c>
      <c r="C467" s="307" t="n">
        <v>5</v>
      </c>
      <c r="D467" s="303" t="n"/>
      <c r="E467" s="303" t="n"/>
      <c r="F467" s="303" t="n"/>
    </row>
    <row r="468">
      <c r="A468" s="305" t="inlineStr">
        <is>
          <t>Название</t>
        </is>
      </c>
      <c r="B468" s="306" t="inlineStr">
        <is>
          <t>Ингредиент</t>
        </is>
      </c>
      <c r="C468" s="306" t="inlineStr">
        <is>
          <t>Кол-во</t>
        </is>
      </c>
      <c r="D468" s="306" t="inlineStr">
        <is>
          <t>Гарнир</t>
        </is>
      </c>
      <c r="E468" s="306" t="inlineStr">
        <is>
          <t>Посуда</t>
        </is>
      </c>
      <c r="F468" s="306" t="inlineStr">
        <is>
          <t>Метод</t>
        </is>
      </c>
    </row>
    <row r="469">
      <c r="A469" s="369" t="inlineStr">
        <is>
          <t>Sidecar</t>
        </is>
      </c>
      <c r="B469" s="421" t="inlineStr">
        <is>
          <t>Martell VS ( коньяк )</t>
        </is>
      </c>
      <c r="C469" s="307" t="n">
        <v>50</v>
      </c>
      <c r="D469" s="307" t="inlineStr">
        <is>
          <t>Цедра апельсина</t>
        </is>
      </c>
      <c r="E469" s="307" t="inlineStr">
        <is>
          <t>Ник и Нора</t>
        </is>
      </c>
      <c r="F469" s="307" t="inlineStr">
        <is>
          <t>Шейк</t>
        </is>
      </c>
    </row>
    <row r="470">
      <c r="A470" s="301" t="n"/>
      <c r="B470" s="421" t="inlineStr">
        <is>
          <t>Cointreau</t>
        </is>
      </c>
      <c r="C470" s="307" t="n">
        <v>20</v>
      </c>
      <c r="D470" s="303" t="n"/>
      <c r="E470" s="303" t="n"/>
      <c r="F470" s="303" t="n"/>
    </row>
    <row r="471">
      <c r="A471" s="301" t="n"/>
      <c r="B471" s="421" t="inlineStr">
        <is>
          <t>Сок лимона</t>
        </is>
      </c>
      <c r="C471" s="307" t="n">
        <v>25</v>
      </c>
      <c r="D471" s="303" t="n"/>
      <c r="E471" s="303" t="n"/>
      <c r="F471" s="303" t="n"/>
    </row>
    <row r="472">
      <c r="A472" s="305" t="inlineStr">
        <is>
          <t>Название</t>
        </is>
      </c>
      <c r="B472" s="306" t="inlineStr">
        <is>
          <t>Ингредиент</t>
        </is>
      </c>
      <c r="C472" s="306" t="inlineStr">
        <is>
          <t>Кол-во</t>
        </is>
      </c>
      <c r="D472" s="306" t="inlineStr">
        <is>
          <t>Гарнир</t>
        </is>
      </c>
      <c r="E472" s="306" t="inlineStr">
        <is>
          <t>Посуда</t>
        </is>
      </c>
      <c r="F472" s="306" t="inlineStr">
        <is>
          <t>Метод</t>
        </is>
      </c>
    </row>
    <row r="473">
      <c r="A473" s="320" t="inlineStr">
        <is>
          <t>Singapore Sling</t>
        </is>
      </c>
      <c r="B473" s="296" t="inlineStr">
        <is>
          <t>Bosford ( джин )</t>
        </is>
      </c>
      <c r="C473" s="307" t="n">
        <v>45</v>
      </c>
      <c r="D473" s="307" t="inlineStr">
        <is>
          <t>Лист бамбука 1 шт</t>
        </is>
      </c>
      <c r="E473" s="307" t="inlineStr">
        <is>
          <t>Хайболл</t>
        </is>
      </c>
      <c r="F473" s="307" t="inlineStr">
        <is>
          <t>Шейк</t>
        </is>
      </c>
    </row>
    <row r="474">
      <c r="A474" s="301" t="n"/>
      <c r="B474" s="421" t="inlineStr">
        <is>
          <t>Bols cherry brandy</t>
        </is>
      </c>
      <c r="C474" s="307" t="n">
        <v>15</v>
      </c>
      <c r="D474" s="321" t="inlineStr">
        <is>
          <t>Вишня мараскиновая 10 грм</t>
        </is>
      </c>
      <c r="E474" s="303" t="n"/>
      <c r="F474" s="303" t="n"/>
    </row>
    <row r="475">
      <c r="A475" s="301" t="n"/>
      <c r="B475" s="363" t="inlineStr">
        <is>
          <t>Cointreau</t>
        </is>
      </c>
      <c r="C475" s="383" t="n">
        <v>15</v>
      </c>
      <c r="D475" s="321" t="inlineStr">
        <is>
          <t>Цедра апельсина</t>
        </is>
      </c>
      <c r="E475" s="303" t="n"/>
      <c r="F475" s="303" t="n"/>
    </row>
    <row r="476">
      <c r="A476" s="301" t="n"/>
      <c r="B476" s="421" t="inlineStr">
        <is>
          <t>Benedictine</t>
        </is>
      </c>
      <c r="C476" s="307" t="n">
        <v>7</v>
      </c>
      <c r="D476" s="303" t="n"/>
      <c r="E476" s="303" t="n"/>
      <c r="F476" s="303" t="n"/>
    </row>
    <row r="477">
      <c r="A477" s="301" t="n"/>
      <c r="B477" s="421" t="inlineStr">
        <is>
          <t>Сок лайма</t>
        </is>
      </c>
      <c r="C477" s="307" t="n">
        <v>15</v>
      </c>
      <c r="D477" s="303" t="n"/>
      <c r="E477" s="303" t="n"/>
      <c r="F477" s="303" t="n"/>
    </row>
    <row r="478">
      <c r="A478" s="301" t="n"/>
      <c r="B478" s="421" t="inlineStr">
        <is>
          <t>Пюре ананас</t>
        </is>
      </c>
      <c r="C478" s="307" t="n">
        <v>60</v>
      </c>
      <c r="D478" s="303" t="n"/>
      <c r="E478" s="303" t="n"/>
      <c r="F478" s="303" t="n"/>
    </row>
    <row r="479">
      <c r="A479" s="301" t="n"/>
      <c r="B479" s="421" t="inlineStr">
        <is>
          <t>Гренадин</t>
        </is>
      </c>
      <c r="C479" s="307" t="n">
        <v>10</v>
      </c>
      <c r="D479" s="303" t="n"/>
      <c r="E479" s="303" t="n"/>
      <c r="F479" s="303" t="n"/>
    </row>
    <row r="480">
      <c r="A480" s="301" t="n"/>
      <c r="B480" s="421" t="inlineStr">
        <is>
          <t>Angostura bitter</t>
        </is>
      </c>
      <c r="C480" s="307" t="n">
        <v>3</v>
      </c>
      <c r="D480" s="303" t="n"/>
      <c r="E480" s="303" t="n"/>
      <c r="F480" s="303" t="n"/>
    </row>
    <row r="481">
      <c r="A481" s="305" t="inlineStr">
        <is>
          <t>Название</t>
        </is>
      </c>
      <c r="B481" s="306" t="inlineStr">
        <is>
          <t>Ингредиент</t>
        </is>
      </c>
      <c r="C481" s="306" t="inlineStr">
        <is>
          <t>Кол-во</t>
        </is>
      </c>
      <c r="D481" s="306" t="inlineStr">
        <is>
          <t>Гарнир</t>
        </is>
      </c>
      <c r="E481" s="306" t="inlineStr">
        <is>
          <t>Посуда</t>
        </is>
      </c>
      <c r="F481" s="306" t="inlineStr">
        <is>
          <t>Метод</t>
        </is>
      </c>
    </row>
    <row r="482">
      <c r="A482" s="369" t="inlineStr">
        <is>
          <t>Southside</t>
        </is>
      </c>
      <c r="B482" s="296" t="inlineStr">
        <is>
          <t>Bosford ( джин )</t>
        </is>
      </c>
      <c r="C482" s="307" t="n">
        <v>60</v>
      </c>
      <c r="D482" s="307" t="inlineStr">
        <is>
          <t>н/а</t>
        </is>
      </c>
      <c r="E482" s="307" t="inlineStr">
        <is>
          <t>Ник и Нора</t>
        </is>
      </c>
      <c r="F482" s="307" t="inlineStr">
        <is>
          <t>Шейк</t>
        </is>
      </c>
    </row>
    <row r="483">
      <c r="A483" s="301" t="n"/>
      <c r="B483" s="421" t="inlineStr">
        <is>
          <t>Сок лимона</t>
        </is>
      </c>
      <c r="C483" s="307" t="n">
        <v>30</v>
      </c>
      <c r="D483" s="303" t="n"/>
      <c r="E483" s="303" t="n"/>
      <c r="F483" s="303" t="n"/>
    </row>
    <row r="484">
      <c r="A484" s="301" t="n"/>
      <c r="B484" s="421" t="inlineStr">
        <is>
          <t>Сироп сахар</t>
        </is>
      </c>
      <c r="C484" s="307" t="n">
        <v>15</v>
      </c>
      <c r="D484" s="303" t="n"/>
      <c r="E484" s="303" t="n"/>
      <c r="F484" s="303" t="n"/>
    </row>
    <row r="485">
      <c r="A485" s="301" t="n"/>
      <c r="B485" s="421" t="inlineStr">
        <is>
          <t>Мята</t>
        </is>
      </c>
      <c r="C485" s="307" t="n">
        <v>2</v>
      </c>
      <c r="D485" s="303" t="n"/>
      <c r="E485" s="303" t="n"/>
      <c r="F485" s="303" t="n"/>
    </row>
    <row r="486">
      <c r="A486" s="305" t="inlineStr">
        <is>
          <t>Название</t>
        </is>
      </c>
      <c r="B486" s="306" t="inlineStr">
        <is>
          <t>Ингредиент</t>
        </is>
      </c>
      <c r="C486" s="306" t="inlineStr">
        <is>
          <t>Кол-во</t>
        </is>
      </c>
      <c r="D486" s="306" t="inlineStr">
        <is>
          <t>Гарнир</t>
        </is>
      </c>
      <c r="E486" s="306" t="inlineStr">
        <is>
          <t>Посуда</t>
        </is>
      </c>
      <c r="F486" s="306" t="inlineStr">
        <is>
          <t>Метод</t>
        </is>
      </c>
    </row>
    <row r="487">
      <c r="A487" s="369" t="inlineStr">
        <is>
          <t>Screwdriver</t>
        </is>
      </c>
      <c r="B487" s="421" t="inlineStr">
        <is>
          <t>Tundra ( vodka )</t>
        </is>
      </c>
      <c r="C487" s="307" t="n">
        <v>50</v>
      </c>
      <c r="D487" s="307" t="inlineStr">
        <is>
          <t>Апельсин слайс 20 грм</t>
        </is>
      </c>
      <c r="E487" s="307" t="inlineStr">
        <is>
          <t>Хайболл</t>
        </is>
      </c>
      <c r="F487" s="307" t="inlineStr">
        <is>
          <t>Билд</t>
        </is>
      </c>
    </row>
    <row r="488">
      <c r="A488" s="301" t="n"/>
      <c r="B488" s="421" t="inlineStr">
        <is>
          <t>Апельсин фреш</t>
        </is>
      </c>
      <c r="C488" s="307" t="n">
        <v>100</v>
      </c>
      <c r="D488" s="303" t="n"/>
      <c r="E488" s="303" t="n"/>
      <c r="F488" s="303" t="n"/>
    </row>
    <row r="489">
      <c r="A489" s="305" t="inlineStr">
        <is>
          <t>Название</t>
        </is>
      </c>
      <c r="B489" s="306" t="inlineStr">
        <is>
          <t>Ингредиент</t>
        </is>
      </c>
      <c r="C489" s="306" t="inlineStr">
        <is>
          <t>Кол-во</t>
        </is>
      </c>
      <c r="D489" s="306" t="inlineStr">
        <is>
          <t>Гарнир</t>
        </is>
      </c>
      <c r="E489" s="306" t="inlineStr">
        <is>
          <t>Посуда</t>
        </is>
      </c>
      <c r="F489" s="306" t="inlineStr">
        <is>
          <t>Метод</t>
        </is>
      </c>
    </row>
    <row r="490">
      <c r="A490" s="369" t="inlineStr">
        <is>
          <t>Sex on the Beach</t>
        </is>
      </c>
      <c r="B490" s="421" t="inlineStr">
        <is>
          <t>Tundra ( vodka )</t>
        </is>
      </c>
      <c r="C490" s="307" t="n">
        <v>40</v>
      </c>
      <c r="D490" s="307" t="inlineStr">
        <is>
          <t>Апельсин слайс 20 грм</t>
        </is>
      </c>
      <c r="E490" s="307" t="inlineStr">
        <is>
          <t>Хайболл</t>
        </is>
      </c>
      <c r="F490" s="307" t="inlineStr">
        <is>
          <t>Билд</t>
        </is>
      </c>
    </row>
    <row r="491">
      <c r="A491" s="301" t="n"/>
      <c r="B491" s="421" t="inlineStr">
        <is>
          <t>Bols peach ( персик )</t>
        </is>
      </c>
      <c r="C491" s="307" t="n">
        <v>20</v>
      </c>
      <c r="D491" s="303" t="n"/>
      <c r="E491" s="303" t="n"/>
      <c r="F491" s="303" t="n"/>
    </row>
    <row r="492">
      <c r="A492" s="301" t="n"/>
      <c r="B492" s="421" t="inlineStr">
        <is>
          <t>Апельсин фреш</t>
        </is>
      </c>
      <c r="C492" s="307" t="n">
        <v>40</v>
      </c>
      <c r="D492" s="303" t="n"/>
      <c r="E492" s="303" t="n"/>
      <c r="F492" s="303" t="n"/>
    </row>
    <row r="493">
      <c r="A493" s="301" t="n"/>
      <c r="B493" s="421" t="inlineStr">
        <is>
          <t>Пюре анас</t>
        </is>
      </c>
      <c r="C493" s="307" t="n">
        <v>20</v>
      </c>
      <c r="D493" s="303" t="n"/>
      <c r="E493" s="303" t="n"/>
      <c r="F493" s="303" t="n"/>
    </row>
    <row r="494">
      <c r="A494" s="326" t="inlineStr">
        <is>
          <t>Название</t>
        </is>
      </c>
      <c r="B494" s="506" t="inlineStr">
        <is>
          <t>Ингридиенты</t>
        </is>
      </c>
      <c r="C494" s="506" t="inlineStr">
        <is>
          <t>кол-во</t>
        </is>
      </c>
      <c r="D494" s="506" t="inlineStr">
        <is>
          <t>Гарнир</t>
        </is>
      </c>
      <c r="E494" s="506" t="inlineStr">
        <is>
          <t>Посуда</t>
        </is>
      </c>
      <c r="F494" s="506" t="inlineStr">
        <is>
          <t>Метод</t>
        </is>
      </c>
    </row>
    <row r="495">
      <c r="A495" s="369" t="inlineStr">
        <is>
          <t>Tommy's Margarita</t>
        </is>
      </c>
      <c r="B495" s="421" t="inlineStr">
        <is>
          <t>Jose Cuervo silver</t>
        </is>
      </c>
      <c r="C495" s="328" t="n">
        <v>50</v>
      </c>
      <c r="D495" s="328" t="inlineStr">
        <is>
          <t>Цедра грейпфрута</t>
        </is>
      </c>
      <c r="E495" s="328" t="inlineStr">
        <is>
          <t>Купе</t>
        </is>
      </c>
      <c r="F495" s="328" t="inlineStr">
        <is>
          <t>Шейк</t>
        </is>
      </c>
    </row>
    <row r="496">
      <c r="A496" s="136" t="n"/>
      <c r="B496" s="421" t="inlineStr">
        <is>
          <t>Нектар агавы</t>
        </is>
      </c>
      <c r="C496" s="328" t="n">
        <v>20</v>
      </c>
      <c r="D496" s="329" t="n"/>
      <c r="E496" s="329" t="n"/>
      <c r="F496" s="329" t="n"/>
    </row>
    <row r="497">
      <c r="A497" s="136" t="n"/>
      <c r="B497" s="421" t="inlineStr">
        <is>
          <t>Фреш грейпфрут</t>
        </is>
      </c>
      <c r="C497" s="328" t="n">
        <v>25</v>
      </c>
      <c r="D497" s="329" t="n"/>
      <c r="E497" s="329" t="n"/>
      <c r="F497" s="329" t="n"/>
    </row>
    <row r="498">
      <c r="A498" s="305" t="inlineStr">
        <is>
          <t>Название</t>
        </is>
      </c>
      <c r="B498" s="306" t="inlineStr">
        <is>
          <t>Ингредиент</t>
        </is>
      </c>
      <c r="C498" s="306" t="inlineStr">
        <is>
          <t>Кол-во</t>
        </is>
      </c>
      <c r="D498" s="306" t="inlineStr">
        <is>
          <t>Гарнир</t>
        </is>
      </c>
      <c r="E498" s="306" t="inlineStr">
        <is>
          <t>Посуда</t>
        </is>
      </c>
      <c r="F498" s="306" t="inlineStr">
        <is>
          <t>Метод</t>
        </is>
      </c>
    </row>
    <row r="499">
      <c r="A499" s="369" t="inlineStr">
        <is>
          <t>Tom Collins</t>
        </is>
      </c>
      <c r="B499" s="296" t="inlineStr">
        <is>
          <t>Bosford ( джин )</t>
        </is>
      </c>
      <c r="C499" s="307" t="n">
        <v>60</v>
      </c>
      <c r="D499" s="307" t="inlineStr">
        <is>
          <t>Цедра лимона</t>
        </is>
      </c>
      <c r="E499" s="307" t="inlineStr">
        <is>
          <t>Хайболл</t>
        </is>
      </c>
      <c r="F499" s="307" t="inlineStr">
        <is>
          <t>Билд</t>
        </is>
      </c>
    </row>
    <row r="500">
      <c r="A500" s="301" t="n"/>
      <c r="B500" s="421" t="inlineStr">
        <is>
          <t>Сок лимона</t>
        </is>
      </c>
      <c r="C500" s="307" t="n">
        <v>30</v>
      </c>
      <c r="D500" s="303" t="n"/>
      <c r="E500" s="303" t="n"/>
      <c r="F500" s="303" t="n"/>
    </row>
    <row r="501">
      <c r="A501" s="301" t="n"/>
      <c r="B501" s="421" t="inlineStr">
        <is>
          <t>содовая ( Ledenev )</t>
        </is>
      </c>
      <c r="C501" s="307" t="n">
        <v>60</v>
      </c>
      <c r="D501" s="303" t="n"/>
      <c r="E501" s="303" t="n"/>
      <c r="F501" s="303" t="n"/>
    </row>
    <row r="502">
      <c r="A502" s="305" t="inlineStr">
        <is>
          <t>Название</t>
        </is>
      </c>
      <c r="B502" s="306" t="inlineStr">
        <is>
          <t>Ингредиент</t>
        </is>
      </c>
      <c r="C502" s="306" t="inlineStr">
        <is>
          <t>Кол-во</t>
        </is>
      </c>
      <c r="D502" s="306" t="inlineStr">
        <is>
          <t>Гарнир</t>
        </is>
      </c>
      <c r="E502" s="306" t="inlineStr">
        <is>
          <t>Посуда</t>
        </is>
      </c>
      <c r="F502" s="306" t="inlineStr">
        <is>
          <t>Метод</t>
        </is>
      </c>
    </row>
    <row r="503">
      <c r="A503" s="369" t="inlineStr">
        <is>
          <t>Twentieth Century Cocktail</t>
        </is>
      </c>
      <c r="B503" s="296" t="inlineStr">
        <is>
          <t>Bosford ( джин )</t>
        </is>
      </c>
      <c r="C503" s="307" t="n">
        <v>45</v>
      </c>
      <c r="D503" s="307" t="inlineStr">
        <is>
          <t>Цедра лимона</t>
        </is>
      </c>
      <c r="E503" s="307" t="inlineStr">
        <is>
          <t>Купе</t>
        </is>
      </c>
      <c r="F503" s="307" t="inlineStr">
        <is>
          <t>Шейк</t>
        </is>
      </c>
    </row>
    <row r="504">
      <c r="A504" s="301" t="n"/>
      <c r="B504" s="421" t="inlineStr">
        <is>
          <t>Lillet blanc</t>
        </is>
      </c>
      <c r="C504" s="307" t="n">
        <v>25</v>
      </c>
      <c r="D504" s="303" t="n"/>
      <c r="E504" s="303" t="n"/>
      <c r="F504" s="303" t="n"/>
    </row>
    <row r="505">
      <c r="A505" s="301" t="n"/>
      <c r="B505" s="421" t="inlineStr">
        <is>
          <t>Bols white cacao</t>
        </is>
      </c>
      <c r="C505" s="307" t="n">
        <v>15</v>
      </c>
      <c r="D505" s="303" t="n"/>
      <c r="E505" s="303" t="n"/>
      <c r="F505" s="303" t="n"/>
    </row>
    <row r="506">
      <c r="A506" s="301" t="n"/>
      <c r="B506" s="421" t="inlineStr">
        <is>
          <t>Сок лимона</t>
        </is>
      </c>
      <c r="C506" s="307" t="n">
        <v>20</v>
      </c>
      <c r="D506" s="303" t="n"/>
      <c r="E506" s="303" t="n"/>
      <c r="F506" s="303" t="n"/>
    </row>
    <row r="507">
      <c r="A507" s="305" t="inlineStr">
        <is>
          <t>Название</t>
        </is>
      </c>
      <c r="B507" s="306" t="inlineStr">
        <is>
          <t>Ингредиент</t>
        </is>
      </c>
      <c r="C507" s="306" t="inlineStr">
        <is>
          <t>Кол-во</t>
        </is>
      </c>
      <c r="D507" s="306" t="inlineStr">
        <is>
          <t>Гарнир</t>
        </is>
      </c>
      <c r="E507" s="306" t="inlineStr">
        <is>
          <t>Посуда</t>
        </is>
      </c>
      <c r="F507" s="306" t="inlineStr">
        <is>
          <t>Метод</t>
        </is>
      </c>
    </row>
    <row r="508">
      <c r="A508" s="369" t="inlineStr">
        <is>
          <t>Tuxedo</t>
        </is>
      </c>
      <c r="B508" s="296" t="inlineStr">
        <is>
          <t>Bosford ( джин )</t>
        </is>
      </c>
      <c r="C508" s="307" t="n">
        <v>60</v>
      </c>
      <c r="D508" s="307" t="inlineStr">
        <is>
          <t>Цедра лимона</t>
        </is>
      </c>
      <c r="E508" s="307" t="inlineStr">
        <is>
          <t>Ник и Нора</t>
        </is>
      </c>
      <c r="F508" s="307" t="inlineStr">
        <is>
          <t>Стир</t>
        </is>
      </c>
    </row>
    <row r="509">
      <c r="A509" s="301" t="n"/>
      <c r="B509" s="421" t="inlineStr">
        <is>
          <t>Barbadillo fino</t>
        </is>
      </c>
      <c r="C509" s="307" t="n">
        <v>30</v>
      </c>
      <c r="D509" s="303" t="n"/>
      <c r="E509" s="303" t="n"/>
      <c r="F509" s="303" t="n"/>
    </row>
    <row r="510">
      <c r="A510" s="301" t="n"/>
      <c r="B510" s="363" t="inlineStr">
        <is>
          <t>Bols maraschino</t>
        </is>
      </c>
      <c r="C510" s="307" t="n">
        <v>10</v>
      </c>
      <c r="D510" s="303" t="n"/>
      <c r="E510" s="303" t="n"/>
      <c r="F510" s="303" t="n"/>
    </row>
    <row r="511">
      <c r="A511" s="301" t="n"/>
      <c r="B511" s="421" t="inlineStr">
        <is>
          <t>Absenthe</t>
        </is>
      </c>
      <c r="C511" s="422" t="n">
        <v>45843</v>
      </c>
      <c r="D511" s="303" t="n"/>
      <c r="E511" s="303" t="n"/>
      <c r="F511" s="303" t="n"/>
    </row>
    <row r="512">
      <c r="A512" s="301" t="n"/>
      <c r="B512" s="421" t="inlineStr">
        <is>
          <t>Angostura orange bitter</t>
        </is>
      </c>
      <c r="C512" s="307" t="n">
        <v>2</v>
      </c>
      <c r="D512" s="303" t="n"/>
      <c r="E512" s="303" t="n"/>
      <c r="F512" s="303" t="n"/>
    </row>
    <row r="513">
      <c r="A513" s="305" t="inlineStr">
        <is>
          <t>Название</t>
        </is>
      </c>
      <c r="B513" s="306" t="inlineStr">
        <is>
          <t>Ингредиент</t>
        </is>
      </c>
      <c r="C513" s="306" t="inlineStr">
        <is>
          <t>Кол-во</t>
        </is>
      </c>
      <c r="D513" s="306" t="inlineStr">
        <is>
          <t>Гарнир</t>
        </is>
      </c>
      <c r="E513" s="306" t="inlineStr">
        <is>
          <t>Посуда</t>
        </is>
      </c>
      <c r="F513" s="306" t="inlineStr">
        <is>
          <t>Метод</t>
        </is>
      </c>
    </row>
    <row r="514">
      <c r="A514" s="369" t="inlineStr">
        <is>
          <t>Tequila Sunrise</t>
        </is>
      </c>
      <c r="B514" s="421" t="inlineStr">
        <is>
          <t>Jose Cuervo silver</t>
        </is>
      </c>
      <c r="C514" s="307" t="n">
        <v>45</v>
      </c>
      <c r="D514" s="307" t="inlineStr">
        <is>
          <t>Апельсин слайс 20 грм</t>
        </is>
      </c>
      <c r="E514" s="303" t="n"/>
      <c r="F514" s="307" t="inlineStr">
        <is>
          <t>Билд</t>
        </is>
      </c>
    </row>
    <row r="515">
      <c r="A515" s="301" t="n"/>
      <c r="B515" s="421" t="inlineStr">
        <is>
          <t>Апельсин фреш</t>
        </is>
      </c>
      <c r="C515" s="307" t="n">
        <v>90</v>
      </c>
      <c r="D515" s="303" t="n"/>
      <c r="E515" s="303" t="n"/>
      <c r="F515" s="303" t="n"/>
    </row>
    <row r="516">
      <c r="A516" s="301" t="n"/>
      <c r="B516" s="421" t="inlineStr">
        <is>
          <t>Гренадин</t>
        </is>
      </c>
      <c r="C516" s="307" t="n">
        <v>15</v>
      </c>
      <c r="D516" s="303" t="n"/>
      <c r="E516" s="303" t="n"/>
      <c r="F516" s="303" t="n"/>
    </row>
    <row r="517">
      <c r="A517" s="305" t="inlineStr">
        <is>
          <t>Название</t>
        </is>
      </c>
      <c r="B517" s="306" t="inlineStr">
        <is>
          <t>Ингредиент</t>
        </is>
      </c>
      <c r="C517" s="306" t="inlineStr">
        <is>
          <t>Кол-во</t>
        </is>
      </c>
      <c r="D517" s="306" t="inlineStr">
        <is>
          <t>Гарнир</t>
        </is>
      </c>
      <c r="E517" s="306" t="inlineStr">
        <is>
          <t>Посуда</t>
        </is>
      </c>
      <c r="F517" s="306" t="inlineStr">
        <is>
          <t>Метод</t>
        </is>
      </c>
    </row>
    <row r="518">
      <c r="A518" s="320" t="inlineStr">
        <is>
          <t>Whiskey Sour</t>
        </is>
      </c>
      <c r="B518" s="421" t="inlineStr">
        <is>
          <t>Old Virginia ( бурбон )</t>
        </is>
      </c>
      <c r="C518" s="307" t="n">
        <v>50</v>
      </c>
      <c r="D518" s="307" t="inlineStr">
        <is>
          <t>Цедра лимона</t>
        </is>
      </c>
      <c r="E518" s="307" t="inlineStr">
        <is>
          <t>Рокс</t>
        </is>
      </c>
      <c r="F518" s="307" t="inlineStr">
        <is>
          <t>Шейк</t>
        </is>
      </c>
    </row>
    <row r="519">
      <c r="A519" s="301" t="n"/>
      <c r="B519" s="421" t="inlineStr">
        <is>
          <t>Сок лимона</t>
        </is>
      </c>
      <c r="C519" s="307" t="n">
        <v>25</v>
      </c>
      <c r="D519" s="303" t="n"/>
      <c r="E519" s="303" t="n"/>
      <c r="F519" s="303" t="n"/>
    </row>
    <row r="520">
      <c r="A520" s="301" t="n"/>
      <c r="B520" s="421" t="inlineStr">
        <is>
          <t>Сироп сахар</t>
        </is>
      </c>
      <c r="C520" s="307" t="n">
        <v>15</v>
      </c>
      <c r="D520" s="303" t="n"/>
      <c r="E520" s="303" t="n"/>
      <c r="F520" s="303" t="n"/>
    </row>
    <row r="521">
      <c r="A521" s="301" t="n"/>
      <c r="B521" s="421" t="inlineStr">
        <is>
          <t>Angostura bitter</t>
        </is>
      </c>
      <c r="C521" s="307" t="n">
        <v>2</v>
      </c>
      <c r="D521" s="303" t="n"/>
      <c r="E521" s="303" t="n"/>
      <c r="F521" s="303" t="n"/>
    </row>
    <row r="522">
      <c r="A522" s="301" t="n"/>
      <c r="B522" s="363" t="inlineStr">
        <is>
          <t>Баблдропс</t>
        </is>
      </c>
      <c r="C522" s="383" t="n">
        <v>3</v>
      </c>
      <c r="D522" s="303" t="n"/>
      <c r="E522" s="303" t="n"/>
      <c r="F522" s="303" t="n"/>
    </row>
    <row r="523">
      <c r="A523" s="305" t="inlineStr">
        <is>
          <t>Название</t>
        </is>
      </c>
      <c r="B523" s="306" t="inlineStr">
        <is>
          <t>Ингредиент</t>
        </is>
      </c>
      <c r="C523" s="306" t="inlineStr">
        <is>
          <t>Кол-во</t>
        </is>
      </c>
      <c r="D523" s="306" t="inlineStr">
        <is>
          <t>Гарнир</t>
        </is>
      </c>
      <c r="E523" s="306" t="inlineStr">
        <is>
          <t>Посуда</t>
        </is>
      </c>
      <c r="F523" s="306" t="inlineStr">
        <is>
          <t>Метод</t>
        </is>
      </c>
    </row>
    <row r="524">
      <c r="A524" s="369" t="inlineStr">
        <is>
          <t>White Lady</t>
        </is>
      </c>
      <c r="B524" s="296" t="inlineStr">
        <is>
          <t>Bosford ( джин )</t>
        </is>
      </c>
      <c r="C524" s="307" t="n">
        <v>45</v>
      </c>
      <c r="D524" s="307" t="inlineStr">
        <is>
          <t>Цедра лимона</t>
        </is>
      </c>
      <c r="E524" s="307" t="inlineStr">
        <is>
          <t>Купе</t>
        </is>
      </c>
      <c r="F524" s="307" t="inlineStr">
        <is>
          <t>Шейк</t>
        </is>
      </c>
    </row>
    <row r="525">
      <c r="A525" s="301" t="n"/>
      <c r="B525" s="421" t="inlineStr">
        <is>
          <t>Cointreau</t>
        </is>
      </c>
      <c r="C525" s="307" t="n">
        <v>20</v>
      </c>
      <c r="D525" s="303" t="n"/>
      <c r="E525" s="303" t="n"/>
      <c r="F525" s="303" t="n"/>
    </row>
    <row r="526">
      <c r="A526" s="301" t="n"/>
      <c r="B526" s="421" t="inlineStr">
        <is>
          <t>Сок лимона</t>
        </is>
      </c>
      <c r="C526" s="307" t="n">
        <v>25</v>
      </c>
      <c r="D526" s="303" t="n"/>
      <c r="E526" s="303" t="n"/>
      <c r="F526" s="303" t="n"/>
    </row>
    <row r="527">
      <c r="A527" s="301" t="n"/>
      <c r="B527" s="421" t="inlineStr">
        <is>
          <t>Сироп сахар</t>
        </is>
      </c>
      <c r="C527" s="307" t="n">
        <v>5</v>
      </c>
      <c r="D527" s="303" t="n"/>
      <c r="E527" s="303" t="n"/>
      <c r="F527" s="303" t="n"/>
    </row>
    <row r="528">
      <c r="A528" s="326" t="inlineStr">
        <is>
          <t>Название</t>
        </is>
      </c>
      <c r="B528" s="506" t="inlineStr">
        <is>
          <t>Ингридиенты</t>
        </is>
      </c>
      <c r="C528" s="506" t="inlineStr">
        <is>
          <t>кол-во</t>
        </is>
      </c>
      <c r="D528" s="506" t="inlineStr">
        <is>
          <t>Гарнир</t>
        </is>
      </c>
      <c r="E528" s="506" t="inlineStr">
        <is>
          <t>Посуда</t>
        </is>
      </c>
      <c r="F528" s="506" t="inlineStr">
        <is>
          <t>Метод</t>
        </is>
      </c>
    </row>
    <row r="529">
      <c r="A529" s="369" t="inlineStr">
        <is>
          <t>Whiskey Cola</t>
        </is>
      </c>
      <c r="B529" s="421" t="inlineStr">
        <is>
          <t>Old Virginia ( бурбон )</t>
        </is>
      </c>
      <c r="C529" s="328" t="n">
        <v>50</v>
      </c>
      <c r="D529" s="328" t="inlineStr">
        <is>
          <t>Цедра лимона</t>
        </is>
      </c>
      <c r="E529" s="328" t="inlineStr">
        <is>
          <t>Хайбол</t>
        </is>
      </c>
      <c r="F529" s="328" t="inlineStr">
        <is>
          <t>Билд</t>
        </is>
      </c>
    </row>
    <row r="530">
      <c r="A530" s="136" t="n"/>
      <c r="B530" s="421" t="inlineStr">
        <is>
          <t>Coca Cola</t>
        </is>
      </c>
      <c r="C530" s="328" t="inlineStr">
        <is>
          <t>1 шт</t>
        </is>
      </c>
      <c r="D530" s="329" t="n"/>
      <c r="E530" s="329" t="n"/>
      <c r="F530" s="329" t="n"/>
    </row>
    <row r="531">
      <c r="A531" s="326" t="inlineStr">
        <is>
          <t>Название</t>
        </is>
      </c>
      <c r="B531" s="506" t="inlineStr">
        <is>
          <t>Ингридиенты</t>
        </is>
      </c>
      <c r="C531" s="506" t="inlineStr">
        <is>
          <t>кол-во</t>
        </is>
      </c>
      <c r="D531" s="506" t="inlineStr">
        <is>
          <t>Гарнир</t>
        </is>
      </c>
      <c r="E531" s="506" t="inlineStr">
        <is>
          <t>Посуда</t>
        </is>
      </c>
      <c r="F531" s="506" t="inlineStr">
        <is>
          <t>Метод</t>
        </is>
      </c>
    </row>
    <row r="532">
      <c r="A532" s="320" t="inlineStr">
        <is>
          <t>White Russian</t>
        </is>
      </c>
      <c r="B532" s="421" t="inlineStr">
        <is>
          <t>Tundra ( vodka )</t>
        </is>
      </c>
      <c r="C532" s="389" t="n">
        <v>40</v>
      </c>
      <c r="D532" s="389" t="inlineStr">
        <is>
          <t>Пудра какао 5 грм</t>
        </is>
      </c>
      <c r="E532" s="389" t="inlineStr">
        <is>
          <t>Рокс</t>
        </is>
      </c>
      <c r="F532" s="389" t="inlineStr">
        <is>
          <t>Стир</t>
        </is>
      </c>
    </row>
    <row r="533">
      <c r="A533" s="186" t="n"/>
      <c r="B533" s="363" t="inlineStr">
        <is>
          <t>Kalua</t>
        </is>
      </c>
      <c r="C533" s="389" t="n">
        <v>30</v>
      </c>
      <c r="D533" s="424" t="n"/>
      <c r="E533" s="424" t="n"/>
      <c r="F533" s="424" t="n"/>
    </row>
    <row r="534">
      <c r="A534" s="186" t="n"/>
      <c r="B534" s="363" t="inlineStr">
        <is>
          <t>Сливки 11%</t>
        </is>
      </c>
      <c r="C534" s="389" t="n">
        <v>20</v>
      </c>
      <c r="D534" s="424" t="n"/>
      <c r="E534" s="424" t="n"/>
      <c r="F534" s="424" t="n"/>
    </row>
    <row r="535">
      <c r="A535" s="305" t="inlineStr">
        <is>
          <t>Название</t>
        </is>
      </c>
      <c r="B535" s="306" t="inlineStr">
        <is>
          <t>Ингредиент</t>
        </is>
      </c>
      <c r="C535" s="306" t="inlineStr">
        <is>
          <t>Кол-во</t>
        </is>
      </c>
      <c r="D535" s="306" t="inlineStr">
        <is>
          <t>Гарнир</t>
        </is>
      </c>
      <c r="E535" s="306" t="inlineStr">
        <is>
          <t>Посуда</t>
        </is>
      </c>
      <c r="F535" s="306" t="inlineStr">
        <is>
          <t>Метод</t>
        </is>
      </c>
    </row>
    <row r="536">
      <c r="A536" s="369" t="inlineStr">
        <is>
          <t>Vieux Carre</t>
        </is>
      </c>
      <c r="B536" s="421" t="inlineStr">
        <is>
          <t>Martell VS ( коньяк )</t>
        </is>
      </c>
      <c r="C536" s="307" t="n">
        <v>30</v>
      </c>
      <c r="D536" s="307" t="inlineStr">
        <is>
          <t>Цедра апельсина</t>
        </is>
      </c>
      <c r="E536" s="307" t="inlineStr">
        <is>
          <t>Купе</t>
        </is>
      </c>
      <c r="F536" s="307" t="inlineStr">
        <is>
          <t>Стир</t>
        </is>
      </c>
    </row>
    <row r="537">
      <c r="A537" s="301" t="n"/>
      <c r="B537" s="421" t="inlineStr">
        <is>
          <t>Old Virginia ( бурбон )</t>
        </is>
      </c>
      <c r="C537" s="307" t="n">
        <v>30</v>
      </c>
      <c r="D537" s="321" t="inlineStr">
        <is>
          <t>Мараскиновая вишня 15 грм</t>
        </is>
      </c>
      <c r="E537" s="303" t="n"/>
      <c r="F537" s="303" t="n"/>
    </row>
    <row r="538">
      <c r="A538" s="301" t="n"/>
      <c r="B538" s="421" t="inlineStr">
        <is>
          <t>Martini rosso</t>
        </is>
      </c>
      <c r="C538" s="307" t="n">
        <v>30</v>
      </c>
      <c r="D538" s="303" t="n"/>
      <c r="E538" s="303" t="n"/>
      <c r="F538" s="303" t="n"/>
    </row>
    <row r="539">
      <c r="A539" s="301" t="n"/>
      <c r="B539" s="421" t="inlineStr">
        <is>
          <t>Benedictine</t>
        </is>
      </c>
      <c r="C539" s="307" t="n">
        <v>7</v>
      </c>
      <c r="D539" s="303" t="n"/>
      <c r="E539" s="303" t="n"/>
      <c r="F539" s="303" t="n"/>
    </row>
    <row r="540">
      <c r="A540" s="301" t="n"/>
      <c r="B540" s="421" t="inlineStr">
        <is>
          <t>Angostura bitter</t>
        </is>
      </c>
      <c r="C540" s="307" t="n">
        <v>2</v>
      </c>
      <c r="D540" s="303" t="n"/>
      <c r="E540" s="303" t="n"/>
      <c r="F540" s="303" t="n"/>
    </row>
    <row r="541">
      <c r="A541" s="301" t="n"/>
      <c r="B541" s="421" t="inlineStr">
        <is>
          <t>Peychaund's bitter</t>
        </is>
      </c>
      <c r="C541" s="307" t="n">
        <v>2</v>
      </c>
      <c r="D541" s="303" t="n"/>
      <c r="E541" s="303" t="n"/>
      <c r="F541" s="303" t="n"/>
    </row>
    <row r="542">
      <c r="A542" s="305" t="inlineStr">
        <is>
          <t>Название</t>
        </is>
      </c>
      <c r="B542" s="306" t="inlineStr">
        <is>
          <t>Ингредиент</t>
        </is>
      </c>
      <c r="C542" s="306" t="inlineStr">
        <is>
          <t>Кол-во</t>
        </is>
      </c>
      <c r="D542" s="306" t="inlineStr">
        <is>
          <t>Гарнир</t>
        </is>
      </c>
      <c r="E542" s="306" t="inlineStr">
        <is>
          <t>Посуда</t>
        </is>
      </c>
      <c r="F542" s="306" t="inlineStr">
        <is>
          <t>Метод</t>
        </is>
      </c>
    </row>
    <row r="543">
      <c r="A543" s="369" t="inlineStr">
        <is>
          <t>Vesper</t>
        </is>
      </c>
      <c r="B543" s="296" t="inlineStr">
        <is>
          <t>Bosford ( джин )</t>
        </is>
      </c>
      <c r="C543" s="307" t="n">
        <v>60</v>
      </c>
      <c r="D543" s="307" t="inlineStr">
        <is>
          <t>Цедра лимона</t>
        </is>
      </c>
      <c r="E543" s="307" t="inlineStr">
        <is>
          <t>Ник и Нора</t>
        </is>
      </c>
      <c r="F543" s="307" t="inlineStr">
        <is>
          <t>Стир</t>
        </is>
      </c>
    </row>
    <row r="544">
      <c r="A544" s="301" t="n"/>
      <c r="B544" s="421" t="inlineStr">
        <is>
          <t>Tundra ( vodka )</t>
        </is>
      </c>
      <c r="C544" s="307" t="n">
        <v>20</v>
      </c>
      <c r="D544" s="303" t="n"/>
      <c r="E544" s="303" t="n"/>
      <c r="F544" s="303" t="n"/>
    </row>
    <row r="545">
      <c r="A545" s="301" t="n"/>
      <c r="B545" s="421" t="inlineStr">
        <is>
          <t>Lillet blanc</t>
        </is>
      </c>
      <c r="C545" s="307" t="n">
        <v>15</v>
      </c>
      <c r="D545" s="303" t="n"/>
      <c r="E545" s="303" t="n"/>
      <c r="F545" s="303" t="n"/>
    </row>
    <row r="546">
      <c r="A546" s="428" t="inlineStr">
        <is>
          <t>Название</t>
        </is>
      </c>
      <c r="B546" s="306" t="inlineStr">
        <is>
          <t>Ингридиенты</t>
        </is>
      </c>
      <c r="C546" s="306" t="inlineStr">
        <is>
          <t>кол-во</t>
        </is>
      </c>
      <c r="D546" s="429" t="inlineStr">
        <is>
          <t>Гаринр</t>
        </is>
      </c>
      <c r="E546" s="429" t="inlineStr">
        <is>
          <t>Посуда</t>
        </is>
      </c>
      <c r="F546" s="429" t="inlineStr">
        <is>
          <t>Метод</t>
        </is>
      </c>
    </row>
    <row r="547">
      <c r="A547" s="369" t="inlineStr">
        <is>
          <t>Zombie</t>
        </is>
      </c>
      <c r="B547" s="421" t="inlineStr">
        <is>
          <t>Plantation 3 star ( ром )</t>
        </is>
      </c>
      <c r="C547" s="307" t="n">
        <v>60</v>
      </c>
      <c r="D547" s="321" t="inlineStr">
        <is>
          <t>Лист бамбука 1 шт</t>
        </is>
      </c>
      <c r="E547" s="321" t="inlineStr">
        <is>
          <t>Тики</t>
        </is>
      </c>
      <c r="F547" s="321" t="inlineStr">
        <is>
          <t>Шейк</t>
        </is>
      </c>
    </row>
    <row r="548">
      <c r="A548" s="301" t="n"/>
      <c r="B548" s="421" t="inlineStr">
        <is>
          <t>Angostura bitter</t>
        </is>
      </c>
      <c r="C548" s="307" t="n">
        <v>2</v>
      </c>
      <c r="D548" s="321" t="inlineStr">
        <is>
          <t>Цедра Апельсин</t>
        </is>
      </c>
      <c r="E548" s="303" t="n"/>
      <c r="F548" s="303" t="n"/>
    </row>
    <row r="549">
      <c r="A549" s="301" t="n"/>
      <c r="B549" s="421" t="inlineStr">
        <is>
          <t>Cointreau</t>
        </is>
      </c>
      <c r="C549" s="307" t="n">
        <v>20</v>
      </c>
      <c r="D549" s="321" t="inlineStr">
        <is>
          <t>Мараскиновая вишня 10 грм</t>
        </is>
      </c>
      <c r="E549" s="303" t="n"/>
      <c r="F549" s="303" t="n"/>
    </row>
    <row r="550">
      <c r="A550" s="301" t="n"/>
      <c r="B550" s="421" t="inlineStr">
        <is>
          <t>Пюре Ананас</t>
        </is>
      </c>
      <c r="C550" s="307" t="n">
        <v>40</v>
      </c>
      <c r="D550" s="321" t="n"/>
      <c r="E550" s="303" t="n"/>
      <c r="F550" s="303" t="n"/>
    </row>
    <row r="551">
      <c r="A551" s="301" t="n"/>
      <c r="B551" s="421" t="inlineStr">
        <is>
          <t>Фреш лайма</t>
        </is>
      </c>
      <c r="C551" s="307" t="n">
        <v>30</v>
      </c>
      <c r="D551" s="321" t="n"/>
      <c r="E551" s="303" t="n"/>
      <c r="F551" s="303" t="n"/>
    </row>
    <row r="552">
      <c r="A552" s="301" t="n"/>
      <c r="B552" s="421" t="inlineStr">
        <is>
          <t>Фреш апельсин</t>
        </is>
      </c>
      <c r="C552" s="307" t="n">
        <v>30</v>
      </c>
      <c r="D552" s="303" t="n"/>
      <c r="E552" s="303" t="n"/>
      <c r="F552" s="303" t="n"/>
    </row>
    <row r="553">
      <c r="A553" s="301" t="n"/>
      <c r="B553" s="421" t="inlineStr">
        <is>
          <t>Сироп сахар</t>
        </is>
      </c>
      <c r="C553" s="307" t="n">
        <v>20</v>
      </c>
      <c r="D553" s="303" t="n"/>
      <c r="E553" s="303" t="n"/>
      <c r="F553" s="303" t="n"/>
    </row>
    <row r="554">
      <c r="A554" s="74" t="n"/>
      <c r="B554" s="74" t="n"/>
      <c r="C554" s="432" t="n"/>
      <c r="D554" s="432" t="n"/>
      <c r="E554" s="74" t="n"/>
      <c r="F554" s="74" t="n"/>
    </row>
    <row r="555">
      <c r="A555" s="74" t="n"/>
      <c r="B555" s="493" t="n"/>
      <c r="C555" s="576" t="inlineStr">
        <is>
          <t>Классика 2.0</t>
        </is>
      </c>
      <c r="D555" s="558" t="n"/>
      <c r="E555" s="74" t="n"/>
      <c r="F555" s="74" t="n"/>
    </row>
    <row r="556">
      <c r="A556" s="432" t="n"/>
      <c r="B556" s="432" t="n"/>
      <c r="C556" s="432" t="n"/>
      <c r="D556" s="432" t="n"/>
      <c r="E556" s="432" t="n"/>
      <c r="F556" s="432" t="n"/>
    </row>
    <row r="557">
      <c r="A557" s="305" t="inlineStr">
        <is>
          <t>Название</t>
        </is>
      </c>
      <c r="B557" s="306" t="inlineStr">
        <is>
          <t>Ингредиент</t>
        </is>
      </c>
      <c r="C557" s="306" t="inlineStr">
        <is>
          <t>Кол-во</t>
        </is>
      </c>
      <c r="D557" s="306" t="inlineStr">
        <is>
          <t>Гарнир</t>
        </is>
      </c>
      <c r="E557" s="306" t="inlineStr">
        <is>
          <t>Посуда</t>
        </is>
      </c>
      <c r="F557" s="306" t="inlineStr">
        <is>
          <t>Метод</t>
        </is>
      </c>
    </row>
    <row r="558">
      <c r="A558" s="435" t="inlineStr">
        <is>
          <t>French Martini</t>
        </is>
      </c>
      <c r="B558" s="421" t="inlineStr">
        <is>
          <t>Tundra ( vodka )</t>
        </is>
      </c>
      <c r="C558" s="436" t="inlineStr">
        <is>
          <t>60 мл</t>
        </is>
      </c>
      <c r="D558" s="436" t="inlineStr">
        <is>
          <t>пил ананаса/чипс</t>
        </is>
      </c>
      <c r="E558" s="436" t="inlineStr">
        <is>
          <t>купе</t>
        </is>
      </c>
      <c r="F558" s="436" t="inlineStr">
        <is>
          <t>шейк</t>
        </is>
      </c>
    </row>
    <row r="559">
      <c r="A559" s="136" t="n"/>
      <c r="B559" s="421" t="inlineStr">
        <is>
          <t>Малиновый ликёр</t>
        </is>
      </c>
      <c r="C559" s="436" t="inlineStr">
        <is>
          <t>20 мл</t>
        </is>
      </c>
      <c r="D559" s="440" t="n"/>
      <c r="E559" s="440" t="n"/>
      <c r="F559" s="440" t="n"/>
    </row>
    <row r="560">
      <c r="A560" s="136" t="n"/>
      <c r="B560" s="421" t="inlineStr">
        <is>
          <t>Пюре ананас</t>
        </is>
      </c>
      <c r="C560" s="436" t="inlineStr">
        <is>
          <t>30 мл</t>
        </is>
      </c>
      <c r="D560" s="440" t="n"/>
      <c r="E560" s="440" t="n"/>
      <c r="F560" s="440" t="n"/>
    </row>
    <row r="561">
      <c r="A561" s="136" t="n"/>
      <c r="B561" s="421" t="inlineStr">
        <is>
          <t>Фреш лимон</t>
        </is>
      </c>
      <c r="C561" s="436" t="inlineStr">
        <is>
          <t>20 мл</t>
        </is>
      </c>
      <c r="D561" s="440" t="n"/>
      <c r="E561" s="440" t="n"/>
      <c r="F561" s="440" t="n"/>
    </row>
    <row r="562">
      <c r="A562" s="305" t="inlineStr">
        <is>
          <t>Название</t>
        </is>
      </c>
      <c r="B562" s="306" t="inlineStr">
        <is>
          <t>Ингредиент</t>
        </is>
      </c>
      <c r="C562" s="306" t="inlineStr">
        <is>
          <t>Кол-во</t>
        </is>
      </c>
      <c r="D562" s="306" t="inlineStr">
        <is>
          <t>Гарнир</t>
        </is>
      </c>
      <c r="E562" s="306" t="inlineStr">
        <is>
          <t>Посуда</t>
        </is>
      </c>
      <c r="F562" s="306" t="inlineStr">
        <is>
          <t>Метод</t>
        </is>
      </c>
    </row>
    <row r="563">
      <c r="A563" s="435" t="inlineStr">
        <is>
          <t>Paper Plane</t>
        </is>
      </c>
      <c r="B563" s="421" t="inlineStr">
        <is>
          <t>Old Virginia ( бурбон )</t>
        </is>
      </c>
      <c r="C563" s="436" t="inlineStr">
        <is>
          <t>30 мл</t>
        </is>
      </c>
      <c r="D563" s="436" t="inlineStr">
        <is>
          <t>цедра апельсина</t>
        </is>
      </c>
      <c r="E563" s="436" t="inlineStr">
        <is>
          <t>купе</t>
        </is>
      </c>
      <c r="F563" s="436" t="inlineStr">
        <is>
          <t>шейк</t>
        </is>
      </c>
    </row>
    <row r="564">
      <c r="A564" s="136" t="n"/>
      <c r="B564" s="421" t="inlineStr">
        <is>
          <t>Amaro nonnino</t>
        </is>
      </c>
      <c r="C564" s="436" t="inlineStr">
        <is>
          <t>30 мл</t>
        </is>
      </c>
      <c r="D564" s="440" t="n"/>
      <c r="E564" s="440" t="n"/>
      <c r="F564" s="440" t="n"/>
    </row>
    <row r="565">
      <c r="A565" s="136" t="n"/>
      <c r="B565" s="421" t="inlineStr">
        <is>
          <t>Aperol</t>
        </is>
      </c>
      <c r="C565" s="436" t="inlineStr">
        <is>
          <t>30 мл</t>
        </is>
      </c>
      <c r="D565" s="440" t="n"/>
      <c r="E565" s="440" t="n"/>
      <c r="F565" s="440" t="n"/>
    </row>
    <row r="566">
      <c r="A566" s="136" t="n"/>
      <c r="B566" s="421" t="inlineStr">
        <is>
          <t>Фреш лимон</t>
        </is>
      </c>
      <c r="C566" s="436" t="inlineStr">
        <is>
          <t>30 мл</t>
        </is>
      </c>
      <c r="D566" s="440" t="n"/>
      <c r="E566" s="440" t="n"/>
      <c r="F566" s="440" t="n"/>
    </row>
    <row r="567">
      <c r="A567" s="305" t="inlineStr">
        <is>
          <t>Название</t>
        </is>
      </c>
      <c r="B567" s="306" t="inlineStr">
        <is>
          <t>Ингредиент</t>
        </is>
      </c>
      <c r="C567" s="306" t="inlineStr">
        <is>
          <t>Кол-во</t>
        </is>
      </c>
      <c r="D567" s="306" t="inlineStr">
        <is>
          <t>Гарнир</t>
        </is>
      </c>
      <c r="E567" s="306" t="inlineStr">
        <is>
          <t>Посуда</t>
        </is>
      </c>
      <c r="F567" s="306" t="inlineStr">
        <is>
          <t>Метод</t>
        </is>
      </c>
    </row>
    <row r="568">
      <c r="A568" s="435" t="inlineStr">
        <is>
          <t>Jungle Bird</t>
        </is>
      </c>
      <c r="B568" s="421" t="inlineStr">
        <is>
          <t>Okheart</t>
        </is>
      </c>
      <c r="C568" s="436" t="inlineStr">
        <is>
          <t>60 мл</t>
        </is>
      </c>
      <c r="D568" s="436" t="inlineStr">
        <is>
          <t>цедра апельсина/</t>
        </is>
      </c>
      <c r="E568" s="436" t="inlineStr">
        <is>
          <t>рокс</t>
        </is>
      </c>
      <c r="F568" s="436" t="inlineStr">
        <is>
          <t>шейк</t>
        </is>
      </c>
    </row>
    <row r="569">
      <c r="A569" s="136" t="n"/>
      <c r="B569" s="421" t="inlineStr">
        <is>
          <t>Campari</t>
        </is>
      </c>
      <c r="C569" s="436" t="inlineStr">
        <is>
          <t>30 мл</t>
        </is>
      </c>
      <c r="D569" s="436" t="inlineStr">
        <is>
          <t>мараскиновая вишня</t>
        </is>
      </c>
      <c r="E569" s="440" t="n"/>
      <c r="F569" s="440" t="n"/>
    </row>
    <row r="570">
      <c r="A570" s="136" t="n"/>
      <c r="B570" s="421" t="inlineStr">
        <is>
          <t>Пюре ананас</t>
        </is>
      </c>
      <c r="C570" s="436" t="inlineStr">
        <is>
          <t>60 мл</t>
        </is>
      </c>
      <c r="D570" s="440" t="n"/>
      <c r="E570" s="440" t="n"/>
      <c r="F570" s="440" t="n"/>
    </row>
    <row r="571">
      <c r="A571" s="136" t="n"/>
      <c r="B571" s="421" t="inlineStr">
        <is>
          <t>Фреш лайм</t>
        </is>
      </c>
      <c r="C571" s="436" t="inlineStr">
        <is>
          <t>20 мл</t>
        </is>
      </c>
      <c r="D571" s="440" t="n"/>
      <c r="E571" s="440" t="n"/>
      <c r="F571" s="440" t="n"/>
    </row>
    <row r="572">
      <c r="A572" s="136" t="n"/>
      <c r="B572" s="421" t="inlineStr">
        <is>
          <t>Сироп сахар</t>
        </is>
      </c>
      <c r="C572" s="436" t="inlineStr">
        <is>
          <t>10 мл</t>
        </is>
      </c>
      <c r="D572" s="440" t="n"/>
      <c r="E572" s="440" t="n"/>
      <c r="F572" s="440" t="n"/>
    </row>
    <row r="573">
      <c r="A573" s="305" t="inlineStr">
        <is>
          <t>Название</t>
        </is>
      </c>
      <c r="B573" s="306" t="inlineStr">
        <is>
          <t>Ингредиент</t>
        </is>
      </c>
      <c r="C573" s="306" t="inlineStr">
        <is>
          <t>Кол-во</t>
        </is>
      </c>
      <c r="D573" s="306" t="inlineStr">
        <is>
          <t>Гарнир</t>
        </is>
      </c>
      <c r="E573" s="306" t="inlineStr">
        <is>
          <t>Посуда</t>
        </is>
      </c>
      <c r="F573" s="306" t="inlineStr">
        <is>
          <t>Метод</t>
        </is>
      </c>
    </row>
    <row r="574">
      <c r="A574" s="435" t="inlineStr">
        <is>
          <t>Shaft</t>
        </is>
      </c>
      <c r="B574" s="421" t="inlineStr">
        <is>
          <t>Tundra ( vodka )</t>
        </is>
      </c>
      <c r="C574" s="436" t="inlineStr">
        <is>
          <t>60 мл</t>
        </is>
      </c>
      <c r="D574" s="436" t="inlineStr">
        <is>
          <t>кофе зёрна</t>
        </is>
      </c>
      <c r="E574" s="436" t="inlineStr">
        <is>
          <t>рокс</t>
        </is>
      </c>
      <c r="F574" s="436" t="inlineStr">
        <is>
          <t>шейк</t>
        </is>
      </c>
    </row>
    <row r="575">
      <c r="A575" s="136" t="n"/>
      <c r="B575" s="421" t="inlineStr">
        <is>
          <t>ColdBrew ( холодный кофе )</t>
        </is>
      </c>
      <c r="C575" s="436" t="inlineStr">
        <is>
          <t>40 мл</t>
        </is>
      </c>
      <c r="D575" s="440" t="n"/>
      <c r="E575" s="440" t="n"/>
      <c r="F575" s="440" t="n"/>
    </row>
    <row r="576">
      <c r="A576" s="136" t="n"/>
      <c r="B576" s="421" t="inlineStr">
        <is>
          <t>Baileys</t>
        </is>
      </c>
      <c r="C576" s="436" t="inlineStr">
        <is>
          <t>20 мл</t>
        </is>
      </c>
      <c r="D576" s="440" t="n"/>
      <c r="E576" s="440" t="n"/>
      <c r="F576" s="440" t="n"/>
    </row>
    <row r="577">
      <c r="A577" s="136" t="n"/>
      <c r="B577" s="421" t="inlineStr">
        <is>
          <t>Kalua</t>
        </is>
      </c>
      <c r="C577" s="436" t="inlineStr">
        <is>
          <t>10 мл</t>
        </is>
      </c>
      <c r="D577" s="440" t="n"/>
      <c r="E577" s="440" t="n"/>
      <c r="F577" s="440" t="n"/>
    </row>
    <row r="578">
      <c r="A578" s="305" t="inlineStr">
        <is>
          <t>Название</t>
        </is>
      </c>
      <c r="B578" s="306" t="inlineStr">
        <is>
          <t>Ингредиент</t>
        </is>
      </c>
      <c r="C578" s="306" t="inlineStr">
        <is>
          <t>Кол-во</t>
        </is>
      </c>
      <c r="D578" s="306" t="inlineStr">
        <is>
          <t>Гарнир</t>
        </is>
      </c>
      <c r="E578" s="306" t="inlineStr">
        <is>
          <t>Посуда</t>
        </is>
      </c>
      <c r="F578" s="306" t="inlineStr">
        <is>
          <t>Метод</t>
        </is>
      </c>
    </row>
    <row r="579">
      <c r="A579" s="435" t="inlineStr">
        <is>
          <t>White Negroni</t>
        </is>
      </c>
      <c r="B579" s="296" t="inlineStr">
        <is>
          <t>Bosford ( джин )</t>
        </is>
      </c>
      <c r="C579" s="436" t="inlineStr">
        <is>
          <t>40 мл</t>
        </is>
      </c>
      <c r="D579" s="436" t="inlineStr">
        <is>
          <t>цедра апельсина</t>
        </is>
      </c>
      <c r="E579" s="436" t="inlineStr">
        <is>
          <t>рокс</t>
        </is>
      </c>
      <c r="F579" s="436" t="inlineStr">
        <is>
          <t>стир</t>
        </is>
      </c>
    </row>
    <row r="580">
      <c r="A580" s="136" t="n"/>
      <c r="B580" s="421" t="inlineStr">
        <is>
          <t>Suze</t>
        </is>
      </c>
      <c r="C580" s="436" t="inlineStr">
        <is>
          <t>25 мл</t>
        </is>
      </c>
      <c r="D580" s="440" t="n"/>
      <c r="E580" s="440" t="n"/>
      <c r="F580" s="440" t="n"/>
    </row>
    <row r="581">
      <c r="A581" s="136" t="n"/>
      <c r="B581" s="421" t="inlineStr">
        <is>
          <t>Lillet blanc</t>
        </is>
      </c>
      <c r="C581" s="436" t="inlineStr">
        <is>
          <t>25 мл</t>
        </is>
      </c>
      <c r="D581" s="440" t="n"/>
      <c r="E581" s="440" t="n"/>
      <c r="F581" s="440" t="n"/>
    </row>
    <row r="582">
      <c r="A582" s="305" t="inlineStr">
        <is>
          <t>Название</t>
        </is>
      </c>
      <c r="B582" s="306" t="inlineStr">
        <is>
          <t>Ингредиент</t>
        </is>
      </c>
      <c r="C582" s="306" t="inlineStr">
        <is>
          <t>Кол-во</t>
        </is>
      </c>
      <c r="D582" s="306" t="inlineStr">
        <is>
          <t>Гарнир</t>
        </is>
      </c>
      <c r="E582" s="306" t="inlineStr">
        <is>
          <t>Посуда</t>
        </is>
      </c>
      <c r="F582" s="306" t="inlineStr">
        <is>
          <t>Метод</t>
        </is>
      </c>
    </row>
    <row r="583">
      <c r="A583" s="435" t="inlineStr">
        <is>
          <t>Trinidad sour</t>
        </is>
      </c>
      <c r="B583" s="421" t="inlineStr">
        <is>
          <t>Old Virginia ( бурбон )</t>
        </is>
      </c>
      <c r="C583" s="436" t="inlineStr">
        <is>
          <t>50 мл</t>
        </is>
      </c>
      <c r="D583" s="436" t="inlineStr">
        <is>
          <t>цедра апельсина/</t>
        </is>
      </c>
      <c r="E583" s="436" t="inlineStr">
        <is>
          <t>купе</t>
        </is>
      </c>
      <c r="F583" s="436" t="inlineStr">
        <is>
          <t>шейк/драй шейк</t>
        </is>
      </c>
    </row>
    <row r="584">
      <c r="A584" s="136" t="n"/>
      <c r="B584" s="421" t="inlineStr">
        <is>
          <t>Angostura bitter</t>
        </is>
      </c>
      <c r="C584" s="436" t="inlineStr">
        <is>
          <t>2/3 деш</t>
        </is>
      </c>
      <c r="D584" s="436" t="inlineStr">
        <is>
          <t>миндаль</t>
        </is>
      </c>
      <c r="E584" s="440" t="n"/>
      <c r="F584" s="440" t="n"/>
    </row>
    <row r="585">
      <c r="A585" s="136" t="n"/>
      <c r="B585" s="421" t="inlineStr">
        <is>
          <t>Сироп миндаль</t>
        </is>
      </c>
      <c r="C585" s="436" t="inlineStr">
        <is>
          <t>20 мл</t>
        </is>
      </c>
      <c r="D585" s="440" t="n"/>
      <c r="E585" s="440" t="n"/>
      <c r="F585" s="440" t="n"/>
    </row>
    <row r="586">
      <c r="A586" s="136" t="n"/>
      <c r="B586" s="421" t="inlineStr">
        <is>
          <t>Лимонный фреш</t>
        </is>
      </c>
      <c r="C586" s="436" t="inlineStr">
        <is>
          <t>30 мл</t>
        </is>
      </c>
      <c r="D586" s="440" t="n"/>
      <c r="E586" s="440" t="n"/>
      <c r="F586" s="440" t="n"/>
    </row>
    <row r="587">
      <c r="A587" s="305" t="inlineStr">
        <is>
          <t>Название</t>
        </is>
      </c>
      <c r="B587" s="306" t="inlineStr">
        <is>
          <t>Ингредиент</t>
        </is>
      </c>
      <c r="C587" s="306" t="inlineStr">
        <is>
          <t>Кол-во</t>
        </is>
      </c>
      <c r="D587" s="306" t="inlineStr">
        <is>
          <t>Гарнир</t>
        </is>
      </c>
      <c r="E587" s="306" t="inlineStr">
        <is>
          <t>Посуда</t>
        </is>
      </c>
      <c r="F587" s="306" t="inlineStr">
        <is>
          <t>Метод</t>
        </is>
      </c>
    </row>
    <row r="588">
      <c r="A588" s="435" t="inlineStr">
        <is>
          <t>Fitzgerald</t>
        </is>
      </c>
      <c r="B588" s="296" t="inlineStr">
        <is>
          <t>Bosford ( джин )</t>
        </is>
      </c>
      <c r="C588" s="436" t="inlineStr">
        <is>
          <t>50 мл</t>
        </is>
      </c>
      <c r="D588" s="436" t="inlineStr">
        <is>
          <t>цедра лимона</t>
        </is>
      </c>
      <c r="E588" s="436" t="inlineStr">
        <is>
          <t>рокс</t>
        </is>
      </c>
      <c r="F588" s="436" t="inlineStr">
        <is>
          <t>шейк</t>
        </is>
      </c>
    </row>
    <row r="589">
      <c r="A589" s="136" t="n"/>
      <c r="B589" s="421" t="inlineStr">
        <is>
          <t>Фреш лимона</t>
        </is>
      </c>
      <c r="C589" s="436" t="inlineStr">
        <is>
          <t>20 мл</t>
        </is>
      </c>
      <c r="D589" s="440" t="n"/>
      <c r="E589" s="440" t="n"/>
      <c r="F589" s="440" t="n"/>
    </row>
    <row r="590">
      <c r="A590" s="136" t="n"/>
      <c r="B590" s="421" t="inlineStr">
        <is>
          <t>Сироп сахар</t>
        </is>
      </c>
      <c r="C590" s="436" t="inlineStr">
        <is>
          <t>10 мл</t>
        </is>
      </c>
      <c r="D590" s="440" t="n"/>
      <c r="E590" s="440" t="n"/>
      <c r="F590" s="440" t="n"/>
    </row>
    <row r="591">
      <c r="A591" s="136" t="n"/>
      <c r="B591" s="421" t="inlineStr">
        <is>
          <t>Angostura bitter</t>
        </is>
      </c>
      <c r="C591" s="436" t="inlineStr">
        <is>
          <t>2/3 деш</t>
        </is>
      </c>
      <c r="D591" s="440" t="n"/>
      <c r="E591" s="440" t="n"/>
      <c r="F591" s="440" t="n"/>
    </row>
    <row r="592">
      <c r="A592" s="305" t="inlineStr">
        <is>
          <t>Название</t>
        </is>
      </c>
      <c r="B592" s="306" t="inlineStr">
        <is>
          <t>Ингредиент</t>
        </is>
      </c>
      <c r="C592" s="306" t="inlineStr">
        <is>
          <t>Кол-во</t>
        </is>
      </c>
      <c r="D592" s="306" t="inlineStr">
        <is>
          <t>Гарнир</t>
        </is>
      </c>
      <c r="E592" s="306" t="inlineStr">
        <is>
          <t>Посуда</t>
        </is>
      </c>
      <c r="F592" s="306" t="inlineStr">
        <is>
          <t>Метод</t>
        </is>
      </c>
    </row>
    <row r="593">
      <c r="A593" s="435" t="inlineStr">
        <is>
          <t>Hand Grenade</t>
        </is>
      </c>
      <c r="B593" s="296" t="inlineStr">
        <is>
          <t>Bosford ( джин )</t>
        </is>
      </c>
      <c r="C593" s="436" t="inlineStr">
        <is>
          <t>20 мл</t>
        </is>
      </c>
      <c r="D593" s="436" t="inlineStr">
        <is>
          <t>цедра лимона</t>
        </is>
      </c>
      <c r="E593" s="436" t="inlineStr">
        <is>
          <t>хайбол</t>
        </is>
      </c>
      <c r="F593" s="436" t="inlineStr">
        <is>
          <t>шейк</t>
        </is>
      </c>
    </row>
    <row r="594">
      <c r="A594" s="136" t="n"/>
      <c r="B594" s="421" t="inlineStr">
        <is>
          <t>Plantation 3 star</t>
        </is>
      </c>
      <c r="C594" s="436" t="inlineStr">
        <is>
          <t>20 мл</t>
        </is>
      </c>
      <c r="D594" s="440" t="n"/>
      <c r="E594" s="440" t="n"/>
      <c r="F594" s="440" t="n"/>
    </row>
    <row r="595">
      <c r="A595" s="136" t="n"/>
      <c r="B595" s="421" t="inlineStr">
        <is>
          <t>Tundra ( vodka )</t>
        </is>
      </c>
      <c r="C595" s="436" t="inlineStr">
        <is>
          <t>20 мл</t>
        </is>
      </c>
      <c r="D595" s="440" t="n"/>
      <c r="E595" s="440" t="n"/>
      <c r="F595" s="440" t="n"/>
    </row>
    <row r="596">
      <c r="A596" s="136" t="n"/>
      <c r="B596" s="421" t="inlineStr">
        <is>
          <t>Ликёр дыня</t>
        </is>
      </c>
      <c r="C596" s="436" t="inlineStr">
        <is>
          <t>10 мл</t>
        </is>
      </c>
      <c r="D596" s="440" t="n"/>
      <c r="E596" s="440" t="n"/>
      <c r="F596" s="440" t="n"/>
    </row>
    <row r="597">
      <c r="A597" s="136" t="n"/>
      <c r="B597" s="421" t="inlineStr">
        <is>
          <t>Пюре ананас</t>
        </is>
      </c>
      <c r="C597" s="436" t="inlineStr">
        <is>
          <t>60 мл</t>
        </is>
      </c>
      <c r="D597" s="440" t="n"/>
      <c r="E597" s="440" t="n"/>
      <c r="F597" s="440" t="n"/>
    </row>
    <row r="598">
      <c r="A598" s="305" t="inlineStr">
        <is>
          <t>Название</t>
        </is>
      </c>
      <c r="B598" s="306" t="inlineStr">
        <is>
          <t>Ингредиент</t>
        </is>
      </c>
      <c r="C598" s="306" t="inlineStr">
        <is>
          <t>Кол-во</t>
        </is>
      </c>
      <c r="D598" s="306" t="inlineStr">
        <is>
          <t>Гарнир</t>
        </is>
      </c>
      <c r="E598" s="306" t="inlineStr">
        <is>
          <t>Посуда</t>
        </is>
      </c>
      <c r="F598" s="306" t="inlineStr">
        <is>
          <t>Метод</t>
        </is>
      </c>
    </row>
    <row r="599">
      <c r="A599" s="435" t="inlineStr">
        <is>
          <t>San Francisco</t>
        </is>
      </c>
      <c r="B599" s="421" t="inlineStr">
        <is>
          <t>Tundra ( vodka )</t>
        </is>
      </c>
      <c r="C599" s="436" t="inlineStr">
        <is>
          <t>60 мл</t>
        </is>
      </c>
      <c r="D599" s="436" t="inlineStr">
        <is>
          <t>цедпа апельсина/</t>
        </is>
      </c>
      <c r="E599" s="436" t="inlineStr">
        <is>
          <t>хайбол</t>
        </is>
      </c>
      <c r="F599" s="436" t="inlineStr">
        <is>
          <t>шейк</t>
        </is>
      </c>
    </row>
    <row r="600">
      <c r="A600" s="136" t="n"/>
      <c r="B600" s="421" t="inlineStr">
        <is>
          <t>Cointreau</t>
        </is>
      </c>
      <c r="C600" s="436" t="inlineStr">
        <is>
          <t>20 мл</t>
        </is>
      </c>
      <c r="D600" s="436" t="inlineStr">
        <is>
          <t>мараскиновая вишня</t>
        </is>
      </c>
      <c r="E600" s="440" t="n"/>
      <c r="F600" s="440" t="n"/>
    </row>
    <row r="601">
      <c r="A601" s="136" t="n"/>
      <c r="B601" s="421" t="inlineStr">
        <is>
          <t>Ликёр банан</t>
        </is>
      </c>
      <c r="C601" s="436" t="inlineStr">
        <is>
          <t>10 мл</t>
        </is>
      </c>
      <c r="D601" s="440" t="n"/>
      <c r="E601" s="440" t="n"/>
      <c r="F601" s="440" t="n"/>
    </row>
    <row r="602">
      <c r="A602" s="136" t="n"/>
      <c r="B602" s="421" t="inlineStr">
        <is>
          <t>Фреш апельсин</t>
        </is>
      </c>
      <c r="C602" s="436" t="inlineStr">
        <is>
          <t>20 мл</t>
        </is>
      </c>
      <c r="D602" s="440" t="n"/>
      <c r="E602" s="440" t="n"/>
      <c r="F602" s="440" t="n"/>
    </row>
    <row r="603">
      <c r="A603" s="136" t="n"/>
      <c r="B603" s="421" t="inlineStr">
        <is>
          <t>Пюре ананас</t>
        </is>
      </c>
      <c r="C603" s="436" t="inlineStr">
        <is>
          <t>60 мл</t>
        </is>
      </c>
      <c r="D603" s="440" t="n"/>
      <c r="E603" s="440" t="n"/>
      <c r="F603" s="440" t="n"/>
    </row>
    <row r="604">
      <c r="A604" s="136" t="n"/>
      <c r="B604" s="421" t="inlineStr">
        <is>
          <t>Сироп гренадин</t>
        </is>
      </c>
      <c r="C604" s="436" t="inlineStr">
        <is>
          <t>5/7 мл</t>
        </is>
      </c>
      <c r="D604" s="440" t="n"/>
      <c r="E604" s="440" t="n"/>
      <c r="F604" s="440" t="n"/>
    </row>
    <row r="605">
      <c r="A605" s="305" t="inlineStr">
        <is>
          <t>Название</t>
        </is>
      </c>
      <c r="B605" s="306" t="inlineStr">
        <is>
          <t>Ингредиент</t>
        </is>
      </c>
      <c r="C605" s="306" t="inlineStr">
        <is>
          <t>Кол-во</t>
        </is>
      </c>
      <c r="D605" s="306" t="inlineStr">
        <is>
          <t>Гарнир</t>
        </is>
      </c>
      <c r="E605" s="306" t="inlineStr">
        <is>
          <t>Посуда</t>
        </is>
      </c>
      <c r="F605" s="306" t="inlineStr">
        <is>
          <t>Метод</t>
        </is>
      </c>
    </row>
    <row r="606">
      <c r="A606" s="435" t="inlineStr">
        <is>
          <t>Final World</t>
        </is>
      </c>
      <c r="B606" s="421" t="inlineStr">
        <is>
          <t>Dewar's white lable</t>
        </is>
      </c>
      <c r="C606" s="436" t="inlineStr">
        <is>
          <t>30 мл</t>
        </is>
      </c>
      <c r="D606" s="436" t="inlineStr">
        <is>
          <t>цедра лимона/</t>
        </is>
      </c>
      <c r="E606" s="436" t="inlineStr">
        <is>
          <t>купе</t>
        </is>
      </c>
      <c r="F606" s="436" t="inlineStr">
        <is>
          <t>шейк</t>
        </is>
      </c>
    </row>
    <row r="607">
      <c r="A607" s="136" t="n"/>
      <c r="B607" s="421" t="inlineStr">
        <is>
          <t>Chartreuse</t>
        </is>
      </c>
      <c r="C607" s="436" t="inlineStr">
        <is>
          <t>30 мл</t>
        </is>
      </c>
      <c r="D607" s="436" t="inlineStr">
        <is>
          <t>мараскиновая вишня</t>
        </is>
      </c>
      <c r="E607" s="440" t="n"/>
      <c r="F607" s="440" t="n"/>
    </row>
    <row r="608">
      <c r="A608" s="136" t="n"/>
      <c r="B608" s="421" t="inlineStr">
        <is>
          <t>Bols marashino</t>
        </is>
      </c>
      <c r="C608" s="436" t="inlineStr">
        <is>
          <t>30 мл</t>
        </is>
      </c>
      <c r="D608" s="440" t="n"/>
      <c r="E608" s="440" t="n"/>
      <c r="F608" s="440" t="n"/>
    </row>
    <row r="609">
      <c r="A609" s="136" t="n"/>
      <c r="B609" s="421" t="inlineStr">
        <is>
          <t>Фреш лимон</t>
        </is>
      </c>
      <c r="C609" s="436" t="inlineStr">
        <is>
          <t>30 мл</t>
        </is>
      </c>
      <c r="D609" s="440" t="n"/>
      <c r="E609" s="440" t="n"/>
      <c r="F609" s="440" t="n"/>
    </row>
    <row r="610">
      <c r="A610" s="305" t="inlineStr">
        <is>
          <t>Название</t>
        </is>
      </c>
      <c r="B610" s="306" t="inlineStr">
        <is>
          <t>Ингредиент</t>
        </is>
      </c>
      <c r="C610" s="306" t="inlineStr">
        <is>
          <t>Кол-во</t>
        </is>
      </c>
      <c r="D610" s="306" t="inlineStr">
        <is>
          <t>Гарнир</t>
        </is>
      </c>
      <c r="E610" s="306" t="inlineStr">
        <is>
          <t>Посуда</t>
        </is>
      </c>
      <c r="F610" s="306" t="inlineStr">
        <is>
          <t>Метод</t>
        </is>
      </c>
    </row>
    <row r="611">
      <c r="A611" s="435" t="inlineStr">
        <is>
          <t>Enzoni</t>
        </is>
      </c>
      <c r="B611" s="296" t="inlineStr">
        <is>
          <t>Bosford ( джин )</t>
        </is>
      </c>
      <c r="C611" s="436" t="inlineStr">
        <is>
          <t>40 мл</t>
        </is>
      </c>
      <c r="D611" s="436" t="inlineStr">
        <is>
          <t>цедра грепфрута</t>
        </is>
      </c>
      <c r="E611" s="436" t="inlineStr">
        <is>
          <t>рокс</t>
        </is>
      </c>
      <c r="F611" s="436" t="inlineStr">
        <is>
          <t>шейк</t>
        </is>
      </c>
    </row>
    <row r="612">
      <c r="A612" s="136" t="n"/>
      <c r="B612" s="421" t="inlineStr">
        <is>
          <t>Campari</t>
        </is>
      </c>
      <c r="C612" s="436" t="inlineStr">
        <is>
          <t>20 мл</t>
        </is>
      </c>
      <c r="D612" s="440" t="n"/>
      <c r="E612" s="440" t="n"/>
      <c r="F612" s="440" t="n"/>
    </row>
    <row r="613">
      <c r="A613" s="136" t="n"/>
      <c r="B613" s="421" t="inlineStr">
        <is>
          <t>Фреш грейпфрут</t>
        </is>
      </c>
      <c r="C613" s="436" t="inlineStr">
        <is>
          <t>15 мл</t>
        </is>
      </c>
      <c r="D613" s="440" t="n"/>
      <c r="E613" s="440" t="n"/>
      <c r="F613" s="440" t="n"/>
    </row>
    <row r="614">
      <c r="A614" s="136" t="n"/>
      <c r="B614" s="421" t="inlineStr">
        <is>
          <t>Фреш лимон</t>
        </is>
      </c>
      <c r="C614" s="436" t="inlineStr">
        <is>
          <t>15 мл</t>
        </is>
      </c>
      <c r="D614" s="440" t="n"/>
      <c r="E614" s="440" t="n"/>
      <c r="F614" s="440" t="n"/>
    </row>
    <row r="615">
      <c r="A615" s="136" t="n"/>
      <c r="B615" s="421" t="inlineStr">
        <is>
          <t>Сироп сахар</t>
        </is>
      </c>
      <c r="C615" s="436" t="inlineStr">
        <is>
          <t>15 мл</t>
        </is>
      </c>
      <c r="D615" s="440" t="n"/>
      <c r="E615" s="440" t="n"/>
      <c r="F615" s="440" t="n"/>
    </row>
    <row r="616">
      <c r="A616" s="305" t="inlineStr">
        <is>
          <t>Название</t>
        </is>
      </c>
      <c r="B616" s="306" t="inlineStr">
        <is>
          <t>Ингредиент</t>
        </is>
      </c>
      <c r="C616" s="306" t="inlineStr">
        <is>
          <t>Кол-во</t>
        </is>
      </c>
      <c r="D616" s="306" t="inlineStr">
        <is>
          <t>Гарнир</t>
        </is>
      </c>
      <c r="E616" s="306" t="inlineStr">
        <is>
          <t>Посуда</t>
        </is>
      </c>
      <c r="F616" s="306" t="inlineStr">
        <is>
          <t>Метод</t>
        </is>
      </c>
    </row>
    <row r="617">
      <c r="A617" s="435" t="inlineStr">
        <is>
          <t>Fluffy Duck</t>
        </is>
      </c>
      <c r="B617" s="296" t="inlineStr">
        <is>
          <t>Bosford ( джин )</t>
        </is>
      </c>
      <c r="C617" s="436" t="inlineStr">
        <is>
          <t>40 мл</t>
        </is>
      </c>
      <c r="D617" s="436" t="inlineStr">
        <is>
          <t>апельсиновая цедра</t>
        </is>
      </c>
      <c r="E617" s="436" t="inlineStr">
        <is>
          <t>хайбол</t>
        </is>
      </c>
      <c r="F617" s="436" t="inlineStr">
        <is>
          <t>шейк</t>
        </is>
      </c>
    </row>
    <row r="618">
      <c r="A618" s="136" t="n"/>
      <c r="B618" s="421" t="inlineStr">
        <is>
          <t>Advokat</t>
        </is>
      </c>
      <c r="C618" s="436" t="inlineStr">
        <is>
          <t>20 мл</t>
        </is>
      </c>
      <c r="D618" s="440" t="n"/>
      <c r="E618" s="440" t="n"/>
      <c r="F618" s="440" t="n"/>
    </row>
    <row r="619">
      <c r="A619" s="136" t="n"/>
      <c r="B619" s="421" t="inlineStr">
        <is>
          <t>Cointreau</t>
        </is>
      </c>
      <c r="C619" s="436" t="inlineStr">
        <is>
          <t>15 мл</t>
        </is>
      </c>
      <c r="D619" s="440" t="n"/>
      <c r="E619" s="440" t="n"/>
      <c r="F619" s="440" t="n"/>
    </row>
    <row r="620">
      <c r="A620" s="136" t="n"/>
      <c r="B620" s="421" t="inlineStr">
        <is>
          <t>Апельсиновый фреш</t>
        </is>
      </c>
      <c r="C620" s="436" t="inlineStr">
        <is>
          <t>30 мл</t>
        </is>
      </c>
      <c r="D620" s="440" t="n"/>
      <c r="E620" s="440" t="n"/>
      <c r="F620" s="440" t="n"/>
    </row>
    <row r="621">
      <c r="A621" s="136" t="n"/>
      <c r="B621" s="421" t="inlineStr">
        <is>
          <t>Содовая</t>
        </is>
      </c>
      <c r="C621" s="436" t="inlineStr">
        <is>
          <t>топ</t>
        </is>
      </c>
      <c r="D621" s="440" t="n"/>
      <c r="E621" s="440" t="n"/>
      <c r="F621" s="440" t="n"/>
    </row>
    <row r="622">
      <c r="A622" s="305" t="inlineStr">
        <is>
          <t>Название</t>
        </is>
      </c>
      <c r="B622" s="306" t="inlineStr">
        <is>
          <t>Ингредиент</t>
        </is>
      </c>
      <c r="C622" s="306" t="inlineStr">
        <is>
          <t>Кол-во</t>
        </is>
      </c>
      <c r="D622" s="306" t="inlineStr">
        <is>
          <t>Гарнир</t>
        </is>
      </c>
      <c r="E622" s="306" t="inlineStr">
        <is>
          <t>Посуда</t>
        </is>
      </c>
      <c r="F622" s="306" t="inlineStr">
        <is>
          <t>Метод</t>
        </is>
      </c>
    </row>
    <row r="623">
      <c r="A623" s="435" t="inlineStr">
        <is>
          <t>Monte Negroni</t>
        </is>
      </c>
      <c r="B623" s="296" t="inlineStr">
        <is>
          <t>Bosford ( джин )</t>
        </is>
      </c>
      <c r="C623" s="436" t="inlineStr">
        <is>
          <t>40 мл</t>
        </is>
      </c>
      <c r="D623" s="436" t="inlineStr">
        <is>
          <t>цедра апельсина</t>
        </is>
      </c>
      <c r="E623" s="436" t="inlineStr">
        <is>
          <t>рокс</t>
        </is>
      </c>
      <c r="F623" s="436" t="inlineStr">
        <is>
          <t>стир</t>
        </is>
      </c>
    </row>
    <row r="624">
      <c r="A624" s="136" t="n"/>
      <c r="B624" s="421" t="inlineStr">
        <is>
          <t>Amaro montenegro</t>
        </is>
      </c>
      <c r="C624" s="436" t="inlineStr">
        <is>
          <t>25 мл</t>
        </is>
      </c>
      <c r="D624" s="440" t="n"/>
      <c r="E624" s="440" t="n"/>
      <c r="F624" s="440" t="n"/>
    </row>
    <row r="625">
      <c r="A625" s="136" t="n"/>
      <c r="B625" s="421" t="inlineStr">
        <is>
          <t>Martini rosso</t>
        </is>
      </c>
      <c r="C625" s="436" t="inlineStr">
        <is>
          <t>25 мл</t>
        </is>
      </c>
      <c r="D625" s="440" t="n"/>
      <c r="E625" s="440" t="n"/>
      <c r="F625" s="440" t="n"/>
    </row>
    <row r="626">
      <c r="A626" s="305" t="inlineStr">
        <is>
          <t>Название</t>
        </is>
      </c>
      <c r="B626" s="306" t="inlineStr">
        <is>
          <t>Ингредиент</t>
        </is>
      </c>
      <c r="C626" s="306" t="inlineStr">
        <is>
          <t>Кол-во</t>
        </is>
      </c>
      <c r="D626" s="306" t="inlineStr">
        <is>
          <t>Гарнир</t>
        </is>
      </c>
      <c r="E626" s="306" t="inlineStr">
        <is>
          <t>Посуда</t>
        </is>
      </c>
      <c r="F626" s="306" t="inlineStr">
        <is>
          <t>Метод</t>
        </is>
      </c>
    </row>
    <row r="627">
      <c r="A627" s="435" t="inlineStr">
        <is>
          <t>Missionary's Downfall</t>
        </is>
      </c>
      <c r="B627" s="421" t="inlineStr">
        <is>
          <t>Okheart</t>
        </is>
      </c>
      <c r="C627" s="436" t="inlineStr">
        <is>
          <t>60 мл</t>
        </is>
      </c>
      <c r="D627" s="436" t="inlineStr">
        <is>
          <t>бошки мяты</t>
        </is>
      </c>
      <c r="E627" s="436" t="inlineStr">
        <is>
          <t>слинг/хайбол</t>
        </is>
      </c>
      <c r="F627" s="436" t="inlineStr">
        <is>
          <t>шейк с мятой</t>
        </is>
      </c>
    </row>
    <row r="628">
      <c r="A628" s="136" t="n"/>
      <c r="B628" s="421" t="inlineStr">
        <is>
          <t>Bols peach ( персик )</t>
        </is>
      </c>
      <c r="C628" s="436" t="inlineStr">
        <is>
          <t>20 мл</t>
        </is>
      </c>
      <c r="D628" s="440" t="n"/>
      <c r="E628" s="440" t="n"/>
      <c r="F628" s="440" t="n"/>
    </row>
    <row r="629">
      <c r="A629" s="136" t="n"/>
      <c r="B629" s="421" t="inlineStr">
        <is>
          <t>Сироп мёд</t>
        </is>
      </c>
      <c r="C629" s="436" t="inlineStr">
        <is>
          <t>10 мл</t>
        </is>
      </c>
      <c r="D629" s="440" t="n"/>
      <c r="E629" s="440" t="n"/>
      <c r="F629" s="440" t="n"/>
    </row>
    <row r="630">
      <c r="A630" s="136" t="n"/>
      <c r="B630" s="421" t="inlineStr">
        <is>
          <t>Фреш лимон</t>
        </is>
      </c>
      <c r="C630" s="436" t="inlineStr">
        <is>
          <t>25 мл</t>
        </is>
      </c>
      <c r="D630" s="440" t="n"/>
      <c r="E630" s="440" t="n"/>
      <c r="F630" s="440" t="n"/>
    </row>
    <row r="631">
      <c r="A631" s="136" t="n"/>
      <c r="B631" s="421" t="inlineStr">
        <is>
          <t>Пюре ананас</t>
        </is>
      </c>
      <c r="C631" s="436" t="inlineStr">
        <is>
          <t>60 мл</t>
        </is>
      </c>
      <c r="D631" s="440" t="n"/>
      <c r="E631" s="440" t="n"/>
      <c r="F631" s="440" t="n"/>
    </row>
    <row r="632">
      <c r="A632" s="76" t="n"/>
      <c r="B632" s="444" t="inlineStr">
        <is>
          <t>Мята</t>
        </is>
      </c>
      <c r="C632" s="445" t="inlineStr">
        <is>
          <t>5/7 шт</t>
        </is>
      </c>
      <c r="D632" s="446" t="n"/>
      <c r="E632" s="446" t="n"/>
      <c r="F632" s="446" t="n"/>
    </row>
  </sheetData>
  <mergeCells count="1">
    <mergeCell ref="C555:D5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176"/>
  <sheetViews>
    <sheetView workbookViewId="0">
      <selection activeCell="A1" sqref="A1"/>
    </sheetView>
  </sheetViews>
  <sheetFormatPr baseColWidth="8" defaultColWidth="14.43" defaultRowHeight="15" customHeight="1"/>
  <cols>
    <col width="19.14" customWidth="1" style="552" min="1" max="1"/>
    <col width="24.29" customWidth="1" style="552" min="2" max="2"/>
    <col width="17.57" customWidth="1" style="552" min="4" max="4"/>
    <col width="21.14" customWidth="1" style="552" min="5" max="5"/>
    <col width="17.71" customWidth="1" style="552" min="9" max="9"/>
    <col width="27" customWidth="1" style="552" min="10" max="10"/>
    <col width="15.86" customWidth="1" style="552" min="11" max="11"/>
    <col width="54.43" customWidth="1" style="552" min="12" max="12"/>
    <col width="11.71" customWidth="1" style="552" min="13" max="13"/>
  </cols>
  <sheetData>
    <row r="1">
      <c r="H1" s="331" t="n">
        <v>45816</v>
      </c>
    </row>
    <row r="2">
      <c r="A2" s="318" t="inlineStr">
        <is>
          <t>Название</t>
        </is>
      </c>
      <c r="B2" s="318" t="inlineStr">
        <is>
          <t>Ингридиенты</t>
        </is>
      </c>
      <c r="C2" s="318" t="inlineStr">
        <is>
          <t>кол-во</t>
        </is>
      </c>
      <c r="D2" s="318" t="inlineStr">
        <is>
          <t>Гарнир</t>
        </is>
      </c>
      <c r="E2" s="318" t="inlineStr">
        <is>
          <t>Посуда</t>
        </is>
      </c>
      <c r="F2" s="318" t="inlineStr">
        <is>
          <t>Лёд</t>
        </is>
      </c>
      <c r="G2" s="318" t="inlineStr">
        <is>
          <t>Метод</t>
        </is>
      </c>
      <c r="I2" s="332" t="inlineStr">
        <is>
          <t>Название</t>
        </is>
      </c>
      <c r="J2" s="332" t="inlineStr">
        <is>
          <t>Ингридиенты</t>
        </is>
      </c>
      <c r="K2" s="332" t="inlineStr">
        <is>
          <t>Кол-во</t>
        </is>
      </c>
      <c r="L2" s="332" t="inlineStr">
        <is>
          <t>Способ</t>
        </is>
      </c>
      <c r="M2" s="333" t="inlineStr">
        <is>
          <t>Выход</t>
        </is>
      </c>
    </row>
    <row r="3">
      <c r="A3" s="337" t="inlineStr">
        <is>
          <t>Гоммаж</t>
        </is>
      </c>
      <c r="B3" s="335" t="inlineStr">
        <is>
          <t>Martini Fiero</t>
        </is>
      </c>
      <c r="C3" s="337" t="inlineStr">
        <is>
          <t>30 мл</t>
        </is>
      </c>
      <c r="D3" s="337" t="inlineStr">
        <is>
          <t>сфера/роза</t>
        </is>
      </c>
      <c r="E3" s="337" t="inlineStr">
        <is>
          <t>винка</t>
        </is>
      </c>
      <c r="F3" s="337" t="inlineStr">
        <is>
          <t>сфера/роза</t>
        </is>
      </c>
      <c r="G3" s="337" t="inlineStr">
        <is>
          <t>стир/билд</t>
        </is>
      </c>
      <c r="I3" s="309" t="inlineStr">
        <is>
          <t>Ананасовый кордиал</t>
        </is>
      </c>
      <c r="J3" s="299" t="inlineStr">
        <is>
          <t>Сок Рич ( ананас )</t>
        </is>
      </c>
      <c r="K3" s="299" t="inlineStr">
        <is>
          <t>1 л</t>
        </is>
      </c>
      <c r="L3" s="309" t="inlineStr">
        <is>
          <t>Смешать все ингридиенты в сотейнике, довести до кипения,</t>
        </is>
      </c>
      <c r="M3" s="299" t="inlineStr">
        <is>
          <t>1,5 л</t>
        </is>
      </c>
    </row>
    <row r="4">
      <c r="A4" s="337" t="n"/>
      <c r="B4" s="335" t="inlineStr">
        <is>
          <t>Bols lychee ( личи )</t>
        </is>
      </c>
      <c r="C4" s="337" t="inlineStr">
        <is>
          <t>10 мл</t>
        </is>
      </c>
      <c r="D4" s="337" t="n"/>
      <c r="E4" s="337" t="n"/>
      <c r="F4" s="337" t="n"/>
      <c r="G4" s="337" t="n"/>
      <c r="I4" s="309" t="n"/>
      <c r="J4" s="299" t="inlineStr">
        <is>
          <t xml:space="preserve">Вода </t>
        </is>
      </c>
      <c r="K4" s="299" t="inlineStr">
        <is>
          <t>500 мл</t>
        </is>
      </c>
      <c r="L4" s="309" t="inlineStr">
        <is>
          <t xml:space="preserve">перемешивая ложкой, что бы не образовалась пена. Дать </t>
        </is>
      </c>
      <c r="M4" s="309" t="n"/>
    </row>
    <row r="5">
      <c r="A5" s="337" t="n"/>
      <c r="B5" s="335" t="inlineStr">
        <is>
          <t>Amaro Santoni</t>
        </is>
      </c>
      <c r="C5" s="337" t="inlineStr">
        <is>
          <t>10 мл</t>
        </is>
      </c>
      <c r="D5" s="337" t="n"/>
      <c r="E5" s="337" t="n"/>
      <c r="F5" s="337" t="n"/>
      <c r="G5" s="337" t="n"/>
      <c r="I5" s="309" t="n"/>
      <c r="J5" s="299" t="inlineStr">
        <is>
          <t>Сахар песок</t>
        </is>
      </c>
      <c r="K5" s="299" t="inlineStr">
        <is>
          <t>800 грм</t>
        </is>
      </c>
      <c r="L5" s="309" t="inlineStr">
        <is>
          <t>остыть, добавить мк ( концентрированную )  самом конце.</t>
        </is>
      </c>
      <c r="M5" s="309" t="n"/>
    </row>
    <row r="6">
      <c r="A6" s="337" t="n"/>
      <c r="B6" s="335" t="inlineStr">
        <is>
          <t>Сироп арбуз</t>
        </is>
      </c>
      <c r="C6" s="337" t="inlineStr">
        <is>
          <t>10 мл</t>
        </is>
      </c>
      <c r="D6" s="337" t="n"/>
      <c r="E6" s="337" t="n"/>
      <c r="F6" s="337" t="n"/>
      <c r="G6" s="337" t="n"/>
      <c r="I6" s="309" t="n"/>
      <c r="J6" s="299" t="inlineStr">
        <is>
          <t>мк ( концентрированная )</t>
        </is>
      </c>
      <c r="K6" s="299" t="inlineStr">
        <is>
          <t>35 мл</t>
        </is>
      </c>
      <c r="L6" s="309" t="n"/>
      <c r="M6" s="309" t="n"/>
    </row>
    <row r="7">
      <c r="A7" s="337" t="n"/>
      <c r="B7" s="335" t="inlineStr">
        <is>
          <t>мк</t>
        </is>
      </c>
      <c r="C7" s="337" t="inlineStr">
        <is>
          <t>10 мл</t>
        </is>
      </c>
      <c r="D7" s="337" t="n"/>
      <c r="E7" s="337" t="n"/>
      <c r="F7" s="337" t="n"/>
      <c r="G7" s="337" t="n"/>
      <c r="I7" s="338" t="n"/>
      <c r="J7" s="338" t="n"/>
      <c r="K7" s="339" t="n"/>
      <c r="L7" s="338" t="n"/>
      <c r="M7" s="338" t="n"/>
    </row>
    <row r="8">
      <c r="A8" s="337" t="n"/>
      <c r="B8" s="335" t="inlineStr">
        <is>
          <t>Просеко</t>
        </is>
      </c>
      <c r="C8" s="337" t="inlineStr">
        <is>
          <t>60 мл</t>
        </is>
      </c>
      <c r="D8" s="337" t="n"/>
      <c r="E8" s="337" t="n"/>
      <c r="F8" s="337" t="n"/>
      <c r="G8" s="337" t="n"/>
      <c r="I8" s="338" t="n"/>
      <c r="J8" s="338" t="n"/>
      <c r="K8" s="339" t="n"/>
      <c r="L8" s="338" t="n"/>
      <c r="M8" s="338" t="n"/>
    </row>
    <row r="9">
      <c r="A9" s="341" t="inlineStr">
        <is>
          <t>Название</t>
        </is>
      </c>
      <c r="B9" s="342" t="inlineStr">
        <is>
          <t>Ингридиенты</t>
        </is>
      </c>
      <c r="C9" s="341" t="inlineStr">
        <is>
          <t>кол-во</t>
        </is>
      </c>
      <c r="D9" s="341" t="inlineStr">
        <is>
          <t>Гарнир</t>
        </is>
      </c>
      <c r="E9" s="341" t="inlineStr">
        <is>
          <t>Посуда</t>
        </is>
      </c>
      <c r="F9" s="341" t="inlineStr">
        <is>
          <t>Лёд</t>
        </is>
      </c>
      <c r="G9" s="341" t="inlineStr">
        <is>
          <t>Метод</t>
        </is>
      </c>
      <c r="I9" s="338" t="n"/>
      <c r="J9" s="338" t="n"/>
      <c r="K9" s="339" t="n"/>
      <c r="L9" s="338" t="n"/>
      <c r="M9" s="338" t="n"/>
    </row>
    <row r="10">
      <c r="A10" s="337" t="inlineStr">
        <is>
          <t>Люмина</t>
        </is>
      </c>
      <c r="B10" s="344" t="inlineStr">
        <is>
          <t>Hoppers ( джин )</t>
        </is>
      </c>
      <c r="C10" s="350" t="inlineStr">
        <is>
          <t>40 мл</t>
        </is>
      </c>
      <c r="D10" s="337" t="inlineStr">
        <is>
          <t>люмина из</t>
        </is>
      </c>
      <c r="E10" s="337" t="inlineStr">
        <is>
          <t>хайбол</t>
        </is>
      </c>
      <c r="F10" s="337" t="inlineStr">
        <is>
          <t>глыба 4х12</t>
        </is>
      </c>
      <c r="G10" s="337" t="inlineStr">
        <is>
          <t>стир/билд</t>
        </is>
      </c>
      <c r="I10" s="338" t="n"/>
      <c r="J10" s="338" t="n"/>
      <c r="K10" s="339" t="n"/>
      <c r="L10" s="338" t="n"/>
      <c r="M10" s="338" t="n"/>
    </row>
    <row r="11">
      <c r="A11" s="337" t="n"/>
      <c r="B11" s="344" t="inlineStr">
        <is>
          <t>Ананас кордиал</t>
        </is>
      </c>
      <c r="C11" s="350" t="inlineStr">
        <is>
          <t>35 мл</t>
        </is>
      </c>
      <c r="D11" s="337" t="inlineStr">
        <is>
          <t>изомальта</t>
        </is>
      </c>
      <c r="E11" s="337" t="n"/>
      <c r="F11" s="337" t="n"/>
      <c r="G11" s="337" t="n"/>
      <c r="I11" s="338" t="n"/>
      <c r="J11" s="338" t="n"/>
      <c r="K11" s="339" t="n"/>
      <c r="L11" s="338" t="n"/>
      <c r="M11" s="338" t="n"/>
    </row>
    <row r="12">
      <c r="A12" s="337" t="n"/>
      <c r="B12" s="344" t="inlineStr">
        <is>
          <t>Сироп лемнограсс</t>
        </is>
      </c>
      <c r="C12" s="350" t="inlineStr">
        <is>
          <t>15 мл</t>
        </is>
      </c>
      <c r="D12" s="337" t="n"/>
      <c r="E12" s="337" t="n"/>
      <c r="F12" s="337" t="n"/>
      <c r="G12" s="337" t="n"/>
      <c r="I12" s="338" t="n"/>
      <c r="J12" s="338" t="n"/>
      <c r="K12" s="339" t="n"/>
      <c r="L12" s="338" t="n"/>
      <c r="M12" s="338" t="n"/>
    </row>
    <row r="13">
      <c r="A13" s="337" t="n"/>
      <c r="B13" s="344" t="inlineStr">
        <is>
          <t>мк</t>
        </is>
      </c>
      <c r="C13" s="350" t="inlineStr">
        <is>
          <t>10 мл</t>
        </is>
      </c>
      <c r="D13" s="337" t="n"/>
      <c r="E13" s="337" t="n"/>
      <c r="F13" s="337" t="n"/>
      <c r="G13" s="337" t="n"/>
      <c r="I13" s="338" t="n"/>
      <c r="J13" s="338" t="n"/>
      <c r="K13" s="339" t="n"/>
      <c r="L13" s="338" t="n"/>
      <c r="M13" s="338" t="n"/>
    </row>
    <row r="14">
      <c r="A14" s="337" t="n"/>
      <c r="B14" s="344" t="inlineStr">
        <is>
          <t>Содовая</t>
        </is>
      </c>
      <c r="C14" s="350" t="inlineStr">
        <is>
          <t>40 мл</t>
        </is>
      </c>
      <c r="D14" s="337" t="n"/>
      <c r="E14" s="337" t="n"/>
      <c r="F14" s="337" t="n"/>
      <c r="G14" s="337" t="n"/>
      <c r="I14" s="338" t="n"/>
      <c r="J14" s="338" t="n"/>
      <c r="K14" s="339" t="n"/>
      <c r="L14" s="338" t="n"/>
      <c r="M14" s="338" t="n"/>
    </row>
    <row r="15">
      <c r="H15" s="331" t="n">
        <v>45834</v>
      </c>
      <c r="K15" s="364" t="n"/>
    </row>
    <row r="16">
      <c r="A16" s="341" t="inlineStr">
        <is>
          <t>Название</t>
        </is>
      </c>
      <c r="B16" s="342" t="inlineStr">
        <is>
          <t>Ингридиенты</t>
        </is>
      </c>
      <c r="C16" s="341" t="inlineStr">
        <is>
          <t>кол-во</t>
        </is>
      </c>
      <c r="D16" s="341" t="inlineStr">
        <is>
          <t>Гарнир</t>
        </is>
      </c>
      <c r="E16" s="341" t="inlineStr">
        <is>
          <t>Посуда</t>
        </is>
      </c>
      <c r="F16" s="341" t="inlineStr">
        <is>
          <t>Лёд</t>
        </is>
      </c>
      <c r="G16" s="341" t="inlineStr">
        <is>
          <t>Метод</t>
        </is>
      </c>
      <c r="I16" s="332" t="inlineStr">
        <is>
          <t>Название</t>
        </is>
      </c>
      <c r="J16" s="332" t="inlineStr">
        <is>
          <t>Ингридиенты</t>
        </is>
      </c>
      <c r="K16" s="332" t="inlineStr">
        <is>
          <t>Кол-во</t>
        </is>
      </c>
      <c r="L16" s="332" t="inlineStr">
        <is>
          <t>Способ</t>
        </is>
      </c>
      <c r="M16" s="333" t="inlineStr">
        <is>
          <t>Выход</t>
        </is>
      </c>
    </row>
    <row r="17">
      <c r="A17" s="350" t="inlineStr">
        <is>
          <t>Игра в Кальмара</t>
        </is>
      </c>
      <c r="B17" s="350" t="inlineStr">
        <is>
          <t>МР Игра в Кальмара</t>
        </is>
      </c>
      <c r="C17" s="350" t="inlineStr">
        <is>
          <t>110 мл</t>
        </is>
      </c>
      <c r="D17" s="351" t="inlineStr">
        <is>
          <t>визитка</t>
        </is>
      </c>
      <c r="E17" s="351" t="inlineStr">
        <is>
          <t>мартинка</t>
        </is>
      </c>
      <c r="F17" s="350" t="inlineStr">
        <is>
          <t>кусок/фрапе</t>
        </is>
      </c>
      <c r="G17" s="350" t="inlineStr">
        <is>
          <t>стир</t>
        </is>
      </c>
      <c r="I17" s="58" t="inlineStr">
        <is>
          <t>MP Игра в Кальмара</t>
        </is>
      </c>
      <c r="J17" s="366" t="inlineStr">
        <is>
          <t>Basfor ( джин )</t>
        </is>
      </c>
      <c r="K17" s="366" t="inlineStr">
        <is>
          <t>400 мл</t>
        </is>
      </c>
      <c r="L17" s="58" t="inlineStr">
        <is>
          <t>Смешать все ингридиенты в большом мернике ( кроме молока и</t>
        </is>
      </c>
      <c r="M17" s="366" t="inlineStr">
        <is>
          <t>1 л</t>
        </is>
      </c>
    </row>
    <row r="18">
      <c r="I18" s="58" t="n"/>
      <c r="J18" s="366" t="inlineStr">
        <is>
          <t>Rich томат</t>
        </is>
      </c>
      <c r="K18" s="366" t="inlineStr">
        <is>
          <t>600 мл</t>
        </is>
      </c>
      <c r="L18" s="58" t="inlineStr">
        <is>
          <t>лимонного фреша ), затем сильно нагреть молоко и вливать в мерник</t>
        </is>
      </c>
      <c r="M18" s="58" t="n"/>
    </row>
    <row r="19">
      <c r="I19" s="58" t="n"/>
      <c r="J19" s="366" t="inlineStr">
        <is>
          <t xml:space="preserve">Вода </t>
        </is>
      </c>
      <c r="K19" s="366" t="inlineStr">
        <is>
          <t>150 мл</t>
        </is>
      </c>
      <c r="L19" s="58" t="inlineStr">
        <is>
          <t>перемешивая ложкой с нашим премиксом ( джин/сок/воду/пюре/лемонграсс</t>
        </is>
      </c>
      <c r="M19" s="58" t="n"/>
    </row>
    <row r="20">
      <c r="I20" s="58" t="n"/>
      <c r="J20" s="366" t="inlineStr">
        <is>
          <t>Молоко кокосовое</t>
        </is>
      </c>
      <c r="K20" s="366" t="inlineStr">
        <is>
          <t>250 мл</t>
        </is>
      </c>
      <c r="L20" s="58" t="inlineStr">
        <is>
          <t>соус  ), затем медленно вливать лимонный фреш в мерник ( уже с</t>
        </is>
      </c>
      <c r="M20" s="58" t="n"/>
    </row>
    <row r="21">
      <c r="I21" s="58" t="n"/>
      <c r="J21" s="366" t="inlineStr">
        <is>
          <t>Пюре кокосовое</t>
        </is>
      </c>
      <c r="K21" s="366" t="inlineStr">
        <is>
          <t>250 мл</t>
        </is>
      </c>
      <c r="L21" s="58" t="inlineStr">
        <is>
          <t xml:space="preserve">молоком и нашим примиксом ) также все это дело перемешивая лож - </t>
        </is>
      </c>
      <c r="M21" s="58" t="n"/>
    </row>
    <row r="22">
      <c r="I22" s="58" t="n"/>
      <c r="J22" s="366" t="inlineStr">
        <is>
          <t>Лемонграсс</t>
        </is>
      </c>
      <c r="K22" s="366" t="inlineStr">
        <is>
          <t>80 грм</t>
        </is>
      </c>
      <c r="L22" s="58" t="inlineStr">
        <is>
          <t xml:space="preserve">кой. ( Изначально можно использовать специальные бутылки для </t>
        </is>
      </c>
      <c r="M22" s="58" t="n"/>
    </row>
    <row r="23">
      <c r="I23" s="58" t="n"/>
      <c r="J23" s="366" t="inlineStr">
        <is>
          <t>Соус шрирача</t>
        </is>
      </c>
      <c r="K23" s="366" t="inlineStr">
        <is>
          <t>60 мл</t>
        </is>
      </c>
      <c r="L23" s="58" t="inlineStr">
        <is>
          <t>удобства, к ним есть крышки ).</t>
        </is>
      </c>
      <c r="M23" s="58" t="n"/>
    </row>
    <row r="24">
      <c r="I24" s="58" t="n"/>
      <c r="J24" s="366" t="inlineStr">
        <is>
          <t>Лимонный фреш</t>
        </is>
      </c>
      <c r="K24" s="366" t="inlineStr">
        <is>
          <t>150 мл</t>
        </is>
      </c>
      <c r="L24" s="58" t="n"/>
      <c r="M24" s="58" t="n"/>
    </row>
    <row r="25">
      <c r="I25" s="58" t="n"/>
      <c r="J25" s="366" t="inlineStr">
        <is>
          <t>Агар</t>
        </is>
      </c>
      <c r="K25" s="366" t="inlineStr">
        <is>
          <t>1,7 грм</t>
        </is>
      </c>
      <c r="L25" s="58" t="n"/>
      <c r="M25" s="58" t="n"/>
    </row>
    <row r="26">
      <c r="H26" s="331" t="n">
        <v>46127</v>
      </c>
    </row>
    <row r="27">
      <c r="A27" s="318" t="inlineStr">
        <is>
          <t>Название</t>
        </is>
      </c>
      <c r="B27" s="318" t="inlineStr">
        <is>
          <t>Ингридиенты</t>
        </is>
      </c>
      <c r="C27" s="318" t="inlineStr">
        <is>
          <t>кол-во</t>
        </is>
      </c>
      <c r="D27" s="318" t="inlineStr">
        <is>
          <t>Гарнир</t>
        </is>
      </c>
      <c r="E27" s="318" t="inlineStr">
        <is>
          <t>Посуда</t>
        </is>
      </c>
      <c r="F27" s="318" t="inlineStr">
        <is>
          <t>Лёд</t>
        </is>
      </c>
      <c r="G27" s="318" t="inlineStr">
        <is>
          <t>Метод</t>
        </is>
      </c>
      <c r="I27" s="352" t="inlineStr">
        <is>
          <t>Название</t>
        </is>
      </c>
      <c r="J27" s="352" t="inlineStr">
        <is>
          <t>Ингридиенты</t>
        </is>
      </c>
      <c r="K27" s="352" t="inlineStr">
        <is>
          <t>Кол-во</t>
        </is>
      </c>
      <c r="L27" s="352" t="inlineStr">
        <is>
          <t>Способ</t>
        </is>
      </c>
      <c r="M27" s="353" t="inlineStr">
        <is>
          <t>Выход</t>
        </is>
      </c>
    </row>
    <row r="28">
      <c r="A28" s="58" t="inlineStr">
        <is>
          <t>Препарат V</t>
        </is>
      </c>
      <c r="B28" s="366" t="inlineStr">
        <is>
          <t>Препарат V mix</t>
        </is>
      </c>
      <c r="C28" s="366" t="inlineStr">
        <is>
          <t>140 мл</t>
        </is>
      </c>
      <c r="D28" s="366" t="inlineStr">
        <is>
          <t>кастом</t>
        </is>
      </c>
      <c r="E28" s="366" t="inlineStr">
        <is>
          <t>кастом</t>
        </is>
      </c>
      <c r="F28" s="366" t="inlineStr">
        <is>
          <t>без льда</t>
        </is>
      </c>
      <c r="G28" s="366" t="inlineStr">
        <is>
          <t>стир</t>
        </is>
      </c>
      <c r="I28" s="58" t="inlineStr">
        <is>
          <t>Препарат V mix</t>
        </is>
      </c>
      <c r="J28" s="366" t="inlineStr">
        <is>
          <t>Basford ( джин )</t>
        </is>
      </c>
      <c r="K28" s="366" t="inlineStr">
        <is>
          <t>300 мл</t>
        </is>
      </c>
      <c r="L28" s="366" t="inlineStr">
        <is>
          <t>Засунуть все в сифон</t>
        </is>
      </c>
      <c r="M28" s="366" t="inlineStr">
        <is>
          <t>0,7 л</t>
        </is>
      </c>
    </row>
    <row r="29">
      <c r="A29" s="524" t="n"/>
      <c r="B29" s="366" t="inlineStr">
        <is>
          <t>Сироп сахар</t>
        </is>
      </c>
      <c r="C29" s="366" t="inlineStr">
        <is>
          <t>20 мл</t>
        </is>
      </c>
      <c r="D29" s="524" t="n"/>
      <c r="E29" s="524" t="n"/>
      <c r="F29" s="524" t="n"/>
      <c r="G29" s="524" t="n"/>
      <c r="I29" s="524" t="n"/>
      <c r="J29" s="366" t="inlineStr">
        <is>
          <t>Сироп персик</t>
        </is>
      </c>
      <c r="K29" s="366" t="inlineStr">
        <is>
          <t>100 мл</t>
        </is>
      </c>
      <c r="L29" s="366" t="inlineStr">
        <is>
          <t>газировать 1 баллоном</t>
        </is>
      </c>
      <c r="M29" s="524" t="n"/>
    </row>
    <row r="30">
      <c r="A30" s="524" t="n"/>
      <c r="B30" s="366" t="inlineStr">
        <is>
          <t>Вода</t>
        </is>
      </c>
      <c r="C30" s="366" t="inlineStr">
        <is>
          <t>40 мл</t>
        </is>
      </c>
      <c r="D30" s="524" t="n"/>
      <c r="E30" s="524" t="n"/>
      <c r="F30" s="524" t="n"/>
      <c r="G30" s="524" t="n"/>
      <c r="I30" s="524" t="n"/>
      <c r="J30" s="366" t="inlineStr">
        <is>
          <t>Сироп сахар</t>
        </is>
      </c>
      <c r="K30" s="366" t="inlineStr">
        <is>
          <t>100 мл</t>
        </is>
      </c>
      <c r="L30" s="366" t="inlineStr">
        <is>
          <t>поставить в холодильник на 2 часа</t>
        </is>
      </c>
      <c r="M30" s="524" t="n"/>
    </row>
    <row r="31">
      <c r="I31" s="524" t="n"/>
      <c r="J31" s="366" t="inlineStr">
        <is>
          <t>Martini Extra dry</t>
        </is>
      </c>
      <c r="K31" s="366" t="inlineStr">
        <is>
          <t>100 мл</t>
        </is>
      </c>
      <c r="L31" s="366" t="inlineStr">
        <is>
          <t>отфайнить спомощью стрейнера или</t>
        </is>
      </c>
      <c r="M31" s="524" t="n"/>
    </row>
    <row r="32">
      <c r="A32" s="318" t="inlineStr">
        <is>
          <t>Название</t>
        </is>
      </c>
      <c r="B32" s="318" t="inlineStr">
        <is>
          <t>Ингридиенты</t>
        </is>
      </c>
      <c r="C32" s="318" t="inlineStr">
        <is>
          <t>кол-во</t>
        </is>
      </c>
      <c r="D32" s="318" t="inlineStr">
        <is>
          <t>Гарнир</t>
        </is>
      </c>
      <c r="E32" s="318" t="inlineStr">
        <is>
          <t>Посуда</t>
        </is>
      </c>
      <c r="F32" s="318" t="inlineStr">
        <is>
          <t>Лёд</t>
        </is>
      </c>
      <c r="G32" s="318" t="inlineStr">
        <is>
          <t>Метод</t>
        </is>
      </c>
      <c r="I32" s="524" t="n"/>
      <c r="J32" s="366" t="inlineStr">
        <is>
          <t>Пюре маракуйя ( в ассортименте )</t>
        </is>
      </c>
      <c r="K32" s="366" t="inlineStr">
        <is>
          <t>100 мл</t>
        </is>
      </c>
      <c r="L32" s="366" t="inlineStr">
        <is>
          <t>вафельного полотна.</t>
        </is>
      </c>
      <c r="M32" s="524" t="n"/>
    </row>
    <row r="33">
      <c r="A33" s="58" t="inlineStr">
        <is>
          <t>Препарат V б/а</t>
        </is>
      </c>
      <c r="B33" s="366" t="inlineStr">
        <is>
          <t>Кордиал спирулина</t>
        </is>
      </c>
      <c r="C33" s="366" t="inlineStr">
        <is>
          <t>80 мл</t>
        </is>
      </c>
      <c r="D33" s="366" t="inlineStr">
        <is>
          <t>кастом</t>
        </is>
      </c>
      <c r="E33" s="366" t="inlineStr">
        <is>
          <t>кастом</t>
        </is>
      </c>
      <c r="F33" s="366" t="inlineStr">
        <is>
          <t>без льда</t>
        </is>
      </c>
      <c r="G33" s="366" t="inlineStr">
        <is>
          <t>билд</t>
        </is>
      </c>
      <c r="I33" s="524" t="n"/>
      <c r="J33" s="366" t="inlineStr">
        <is>
          <t>Листья лайма</t>
        </is>
      </c>
      <c r="K33" s="366" t="inlineStr">
        <is>
          <t>10 грм</t>
        </is>
      </c>
      <c r="L33" s="524" t="n"/>
      <c r="M33" s="524" t="n"/>
    </row>
    <row r="34">
      <c r="A34" s="524" t="n"/>
      <c r="B34" s="366" t="inlineStr">
        <is>
          <t xml:space="preserve">тоник Rich 0,33 </t>
        </is>
      </c>
      <c r="C34" s="366" t="inlineStr">
        <is>
          <t>1 шт</t>
        </is>
      </c>
      <c r="D34" s="524" t="n"/>
      <c r="E34" s="524" t="n"/>
      <c r="F34" s="524" t="n"/>
      <c r="G34" s="524" t="n"/>
    </row>
    <row r="35">
      <c r="A35" s="524" t="n"/>
      <c r="B35" s="524" t="n"/>
      <c r="C35" s="524" t="n"/>
      <c r="D35" s="524" t="n"/>
      <c r="E35" s="524" t="n"/>
      <c r="F35" s="524" t="n"/>
      <c r="G35" s="524" t="n"/>
      <c r="I35" s="352" t="inlineStr">
        <is>
          <t>Название</t>
        </is>
      </c>
      <c r="J35" s="352" t="inlineStr">
        <is>
          <t>Ингридиенты</t>
        </is>
      </c>
      <c r="K35" s="352" t="inlineStr">
        <is>
          <t>Кол-во</t>
        </is>
      </c>
      <c r="L35" s="352" t="inlineStr">
        <is>
          <t>Способ</t>
        </is>
      </c>
      <c r="M35" s="353" t="inlineStr">
        <is>
          <t>Выход</t>
        </is>
      </c>
    </row>
    <row r="36">
      <c r="I36" s="58" t="inlineStr">
        <is>
          <t>Спирулина - вода</t>
        </is>
      </c>
      <c r="J36" s="366" t="inlineStr">
        <is>
          <t>Спирулина</t>
        </is>
      </c>
      <c r="K36" s="366" t="inlineStr">
        <is>
          <t>2 грм</t>
        </is>
      </c>
      <c r="L36" s="366" t="inlineStr">
        <is>
          <t>смешать</t>
        </is>
      </c>
      <c r="M36" s="366" t="inlineStr">
        <is>
          <t>0,4 л</t>
        </is>
      </c>
    </row>
    <row r="37">
      <c r="I37" s="524" t="n"/>
      <c r="J37" s="366" t="inlineStr">
        <is>
          <t>Вода</t>
        </is>
      </c>
      <c r="K37" s="366" t="inlineStr">
        <is>
          <t>500 мл</t>
        </is>
      </c>
      <c r="L37" s="366" t="inlineStr">
        <is>
          <t>перемешать</t>
        </is>
      </c>
      <c r="M37" s="524" t="n"/>
    </row>
    <row r="38">
      <c r="I38" s="524" t="n"/>
      <c r="J38" s="524" t="n"/>
      <c r="K38" s="524" t="n"/>
      <c r="L38" s="366" t="inlineStr">
        <is>
          <t xml:space="preserve">процедить/кофе - филтр </t>
        </is>
      </c>
      <c r="M38" s="524" t="n"/>
    </row>
    <row r="39">
      <c r="I39" s="10" t="n"/>
      <c r="J39" s="10" t="n"/>
      <c r="K39" s="10" t="n"/>
      <c r="L39" s="10" t="n"/>
      <c r="M39" s="10" t="n"/>
    </row>
    <row r="40">
      <c r="I40" s="352" t="inlineStr">
        <is>
          <t>Название</t>
        </is>
      </c>
      <c r="J40" s="352" t="inlineStr">
        <is>
          <t>Ингридиенты</t>
        </is>
      </c>
      <c r="K40" s="352" t="inlineStr">
        <is>
          <t>Кол-во</t>
        </is>
      </c>
      <c r="L40" s="352" t="inlineStr">
        <is>
          <t>Способ</t>
        </is>
      </c>
      <c r="M40" s="352" t="inlineStr">
        <is>
          <t>Выход</t>
        </is>
      </c>
    </row>
    <row r="41">
      <c r="I41" s="58" t="inlineStr">
        <is>
          <t>Кордиал спирулина</t>
        </is>
      </c>
      <c r="J41" s="366" t="inlineStr">
        <is>
          <t>Спирулина - вода</t>
        </is>
      </c>
      <c r="K41" s="366" t="inlineStr">
        <is>
          <t>150 мл</t>
        </is>
      </c>
      <c r="L41" s="366" t="inlineStr">
        <is>
          <t>смешать - перемешать</t>
        </is>
      </c>
      <c r="M41" s="366" t="inlineStr">
        <is>
          <t>0,5 л</t>
        </is>
      </c>
    </row>
    <row r="42">
      <c r="I42" s="524" t="n"/>
      <c r="J42" s="366" t="inlineStr">
        <is>
          <t>Сироп сахар</t>
        </is>
      </c>
      <c r="K42" s="366" t="inlineStr">
        <is>
          <t>150 мл</t>
        </is>
      </c>
      <c r="L42" s="524" t="n"/>
      <c r="M42" s="524" t="n"/>
    </row>
    <row r="43">
      <c r="I43" s="524" t="n"/>
      <c r="J43" s="366" t="inlineStr">
        <is>
          <t>Концентрат киви</t>
        </is>
      </c>
      <c r="K43" s="366" t="inlineStr">
        <is>
          <t>60 мл</t>
        </is>
      </c>
      <c r="L43" s="524" t="n"/>
      <c r="M43" s="524" t="n"/>
    </row>
    <row r="44">
      <c r="I44" s="524" t="n"/>
      <c r="J44" s="366" t="inlineStr">
        <is>
          <t>Молочная кислота</t>
        </is>
      </c>
      <c r="K44" s="366" t="inlineStr">
        <is>
          <t>40 мл ( разбавленная )</t>
        </is>
      </c>
      <c r="L44" s="524" t="n"/>
      <c r="M44" s="524" t="n"/>
    </row>
    <row r="45">
      <c r="I45" s="524" t="n"/>
      <c r="J45" s="366" t="inlineStr">
        <is>
          <t>вода</t>
        </is>
      </c>
      <c r="K45" s="366" t="inlineStr">
        <is>
          <t>100 мл</t>
        </is>
      </c>
      <c r="L45" s="524" t="n"/>
      <c r="M45" s="524" t="n"/>
    </row>
    <row r="46">
      <c r="H46" s="331" t="n">
        <v>46174</v>
      </c>
    </row>
    <row r="47">
      <c r="D47" s="355" t="inlineStr">
        <is>
          <t>ЛИМОНАДЫ</t>
        </is>
      </c>
    </row>
    <row r="48">
      <c r="A48" s="318" t="inlineStr">
        <is>
          <t>Название</t>
        </is>
      </c>
      <c r="B48" s="318" t="inlineStr">
        <is>
          <t>Ингридиенты</t>
        </is>
      </c>
      <c r="C48" s="356" t="inlineStr">
        <is>
          <t>кол-во 0,4 л</t>
        </is>
      </c>
      <c r="D48" s="357" t="inlineStr">
        <is>
          <t>кол-во 1л</t>
        </is>
      </c>
      <c r="E48" s="318" t="inlineStr">
        <is>
          <t>Гарнир</t>
        </is>
      </c>
      <c r="F48" s="318" t="inlineStr">
        <is>
          <t>Лёд</t>
        </is>
      </c>
      <c r="G48" s="318" t="inlineStr">
        <is>
          <t>Метод</t>
        </is>
      </c>
      <c r="I48" s="352" t="inlineStr">
        <is>
          <t>Название</t>
        </is>
      </c>
      <c r="J48" s="352" t="inlineStr">
        <is>
          <t>Ингридиенты</t>
        </is>
      </c>
      <c r="K48" s="352" t="inlineStr">
        <is>
          <t>Кол-во</t>
        </is>
      </c>
      <c r="L48" s="352" t="inlineStr">
        <is>
          <t>Способ</t>
        </is>
      </c>
      <c r="M48" s="352" t="inlineStr">
        <is>
          <t>Выход</t>
        </is>
      </c>
    </row>
    <row r="49">
      <c r="A49" s="58" t="inlineStr">
        <is>
          <t>Зелёный гоблин</t>
        </is>
      </c>
      <c r="B49" s="366" t="inlineStr">
        <is>
          <t>пюре киви</t>
        </is>
      </c>
      <c r="C49" s="366" t="inlineStr">
        <is>
          <t>60 мл</t>
        </is>
      </c>
      <c r="D49" s="366" t="inlineStr">
        <is>
          <t>260 мл</t>
        </is>
      </c>
      <c r="E49" s="366" t="inlineStr">
        <is>
          <t>киви</t>
        </is>
      </c>
      <c r="F49" s="366" t="inlineStr">
        <is>
          <t>кусок</t>
        </is>
      </c>
      <c r="G49" s="366" t="inlineStr">
        <is>
          <t>шейк</t>
        </is>
      </c>
      <c r="I49" s="309" t="inlineStr">
        <is>
          <t>Пюре киви</t>
        </is>
      </c>
      <c r="J49" s="299" t="inlineStr">
        <is>
          <t>свежий киви</t>
        </is>
      </c>
      <c r="K49" s="299" t="inlineStr">
        <is>
          <t>5 шт</t>
        </is>
      </c>
      <c r="L49" s="309" t="inlineStr">
        <is>
          <t>Взбить в блендере ( в режиме "пульс", что бы не</t>
        </is>
      </c>
      <c r="M49" s="299" t="inlineStr">
        <is>
          <t>0,35 л</t>
        </is>
      </c>
    </row>
    <row r="50">
      <c r="A50" s="524" t="n"/>
      <c r="B50" s="366" t="inlineStr">
        <is>
          <t>фреш лимон</t>
        </is>
      </c>
      <c r="C50" s="366" t="inlineStr">
        <is>
          <t>20 мл</t>
        </is>
      </c>
      <c r="D50" s="366" t="inlineStr">
        <is>
          <t>60 мл</t>
        </is>
      </c>
      <c r="E50" s="366" t="inlineStr">
        <is>
          <t>звёздочки</t>
        </is>
      </c>
      <c r="F50" s="524" t="n"/>
      <c r="G50" s="524" t="n"/>
      <c r="I50" s="309" t="n"/>
      <c r="J50" s="299" t="inlineStr">
        <is>
          <t>концентрат киви</t>
        </is>
      </c>
      <c r="K50" s="299" t="inlineStr">
        <is>
          <t>100 мл</t>
        </is>
      </c>
      <c r="L50" s="309" t="inlineStr">
        <is>
          <t>размолоть семечки</t>
        </is>
      </c>
      <c r="M50" s="309" t="n"/>
    </row>
    <row r="51">
      <c r="A51" s="524" t="n"/>
      <c r="B51" s="366" t="inlineStr">
        <is>
          <t>содовая</t>
        </is>
      </c>
      <c r="C51" s="366" t="inlineStr">
        <is>
          <t>топ ( 100 мл )</t>
        </is>
      </c>
      <c r="D51" s="366" t="inlineStr">
        <is>
          <t>топ ( 600 мл )</t>
        </is>
      </c>
      <c r="E51" s="524" t="n"/>
      <c r="F51" s="524" t="n"/>
      <c r="G51" s="524" t="n"/>
      <c r="I51" s="309" t="n"/>
      <c r="J51" s="299" t="inlineStr">
        <is>
          <t>сахарный сироп</t>
        </is>
      </c>
      <c r="K51" s="299" t="inlineStr">
        <is>
          <t>300 мл</t>
        </is>
      </c>
      <c r="L51" s="309" t="n"/>
      <c r="M51" s="309" t="n"/>
    </row>
    <row r="52"/>
    <row r="53">
      <c r="A53" s="318" t="inlineStr">
        <is>
          <t>Название</t>
        </is>
      </c>
      <c r="B53" s="318" t="inlineStr">
        <is>
          <t>Ингридиенты</t>
        </is>
      </c>
      <c r="C53" s="356" t="inlineStr">
        <is>
          <t>кол-во 0,4 л</t>
        </is>
      </c>
      <c r="D53" s="357" t="inlineStr">
        <is>
          <t>кол-во 1л</t>
        </is>
      </c>
      <c r="E53" s="318" t="inlineStr">
        <is>
          <t>Гарнир</t>
        </is>
      </c>
      <c r="F53" s="318" t="inlineStr">
        <is>
          <t>Лёд</t>
        </is>
      </c>
      <c r="G53" s="318" t="inlineStr">
        <is>
          <t>Метод</t>
        </is>
      </c>
      <c r="I53" s="387" t="inlineStr">
        <is>
          <t>Название</t>
        </is>
      </c>
      <c r="J53" s="387" t="inlineStr">
        <is>
          <t>Ингридиенты</t>
        </is>
      </c>
      <c r="K53" s="387" t="inlineStr">
        <is>
          <t>Кол-во</t>
        </is>
      </c>
      <c r="L53" s="387" t="inlineStr">
        <is>
          <t>Способ</t>
        </is>
      </c>
      <c r="M53" s="387" t="inlineStr">
        <is>
          <t>Выход</t>
        </is>
      </c>
    </row>
    <row r="54">
      <c r="A54" s="58" t="inlineStr">
        <is>
          <t>Гвен-паук</t>
        </is>
      </c>
      <c r="B54" s="366" t="inlineStr">
        <is>
          <t>пюре дыня ( в асс. )</t>
        </is>
      </c>
      <c r="C54" s="366" t="inlineStr">
        <is>
          <t>60 мл</t>
        </is>
      </c>
      <c r="D54" s="366" t="inlineStr">
        <is>
          <t>160 мл</t>
        </is>
      </c>
      <c r="E54" s="366" t="inlineStr">
        <is>
          <t>дыня</t>
        </is>
      </c>
      <c r="F54" s="366" t="inlineStr">
        <is>
          <t>кусок</t>
        </is>
      </c>
      <c r="G54" s="366" t="inlineStr">
        <is>
          <t>шейк</t>
        </is>
      </c>
      <c r="I54" s="309" t="inlineStr">
        <is>
          <t>Пюре дыня</t>
        </is>
      </c>
      <c r="J54" s="299" t="inlineStr">
        <is>
          <t xml:space="preserve">пюре в ассортименте ( дыни ) </t>
        </is>
      </c>
      <c r="K54" s="299" t="inlineStr">
        <is>
          <t>1 кг</t>
        </is>
      </c>
      <c r="L54" s="309" t="inlineStr">
        <is>
          <t>Смешать все ингридиенты</t>
        </is>
      </c>
      <c r="M54" s="299" t="inlineStr">
        <is>
          <t>1 л</t>
        </is>
      </c>
    </row>
    <row r="55">
      <c r="A55" s="44" t="n"/>
      <c r="B55" s="299" t="inlineStr">
        <is>
          <t>пюре гуана-бана ( в асс. )</t>
        </is>
      </c>
      <c r="C55" s="299" t="inlineStr">
        <is>
          <t>30 мл</t>
        </is>
      </c>
      <c r="D55" s="299" t="inlineStr">
        <is>
          <t>130 мл</t>
        </is>
      </c>
      <c r="E55" s="299" t="inlineStr">
        <is>
          <t>нуазеткой</t>
        </is>
      </c>
      <c r="F55" s="44" t="n"/>
      <c r="G55" s="44" t="n"/>
      <c r="I55" s="309" t="n"/>
      <c r="J55" s="299" t="inlineStr">
        <is>
          <t>концентрат дыня</t>
        </is>
      </c>
      <c r="K55" s="299" t="inlineStr">
        <is>
          <t>100 мл</t>
        </is>
      </c>
      <c r="L55" s="309" t="n"/>
      <c r="M55" s="309" t="n"/>
    </row>
    <row r="56">
      <c r="A56" s="524" t="n"/>
      <c r="B56" s="366" t="inlineStr">
        <is>
          <t>сироп сахар</t>
        </is>
      </c>
      <c r="C56" s="366" t="inlineStr">
        <is>
          <t>10 мл</t>
        </is>
      </c>
      <c r="D56" s="366" t="inlineStr">
        <is>
          <t>60 мл</t>
        </is>
      </c>
      <c r="E56" s="524" t="n"/>
      <c r="F56" s="524" t="n"/>
      <c r="G56" s="524" t="n"/>
    </row>
    <row r="57">
      <c r="A57" s="524" t="n"/>
      <c r="B57" s="366" t="inlineStr">
        <is>
          <t>фреш лимон</t>
        </is>
      </c>
      <c r="C57" s="366" t="inlineStr">
        <is>
          <t>20 мл</t>
        </is>
      </c>
      <c r="D57" s="366" t="inlineStr">
        <is>
          <t>60 мл</t>
        </is>
      </c>
      <c r="E57" s="524" t="n"/>
      <c r="F57" s="524" t="n"/>
      <c r="G57" s="524" t="n"/>
    </row>
    <row r="58">
      <c r="A58" s="524" t="n"/>
      <c r="B58" s="366" t="inlineStr">
        <is>
          <t>тоник</t>
        </is>
      </c>
      <c r="C58" s="366" t="inlineStr">
        <is>
          <t>1 шт</t>
        </is>
      </c>
      <c r="D58" s="366" t="inlineStr">
        <is>
          <t>содовая ( 0,6 л )</t>
        </is>
      </c>
      <c r="E58" s="524" t="n"/>
      <c r="F58" s="524" t="n"/>
      <c r="G58" s="524" t="n"/>
    </row>
    <row r="59"/>
    <row r="60">
      <c r="D60" s="315" t="inlineStr">
        <is>
          <t>Б/А коктейли</t>
        </is>
      </c>
    </row>
    <row r="61">
      <c r="A61" s="318" t="inlineStr">
        <is>
          <t>Название</t>
        </is>
      </c>
      <c r="B61" s="318" t="inlineStr">
        <is>
          <t>Ингридиенты</t>
        </is>
      </c>
      <c r="C61" s="318" t="inlineStr">
        <is>
          <t>кол-во</t>
        </is>
      </c>
      <c r="D61" s="318" t="inlineStr">
        <is>
          <t>Гарнир</t>
        </is>
      </c>
      <c r="E61" s="318" t="inlineStr">
        <is>
          <t>Посуда</t>
        </is>
      </c>
      <c r="F61" s="318" t="inlineStr">
        <is>
          <t>Лёд</t>
        </is>
      </c>
      <c r="G61" s="318" t="inlineStr">
        <is>
          <t>Метод</t>
        </is>
      </c>
      <c r="I61" s="387" t="inlineStr">
        <is>
          <t>Название</t>
        </is>
      </c>
      <c r="J61" s="387" t="inlineStr">
        <is>
          <t>Ингридиенты</t>
        </is>
      </c>
      <c r="K61" s="387" t="inlineStr">
        <is>
          <t>Кол-во</t>
        </is>
      </c>
      <c r="L61" s="387" t="inlineStr">
        <is>
          <t>Способ</t>
        </is>
      </c>
      <c r="M61" s="387" t="inlineStr">
        <is>
          <t>Выход</t>
        </is>
      </c>
    </row>
    <row r="62">
      <c r="A62" s="58" t="inlineStr">
        <is>
          <t>Мэри Джейн</t>
        </is>
      </c>
      <c r="B62" s="299" t="inlineStr">
        <is>
          <t>пюре персик ( в асс. )</t>
        </is>
      </c>
      <c r="C62" s="299" t="inlineStr">
        <is>
          <t>50 мл</t>
        </is>
      </c>
      <c r="D62" s="299" t="inlineStr">
        <is>
          <t>персик/пил</t>
        </is>
      </c>
      <c r="E62" s="299" t="inlineStr">
        <is>
          <t>флюте</t>
        </is>
      </c>
      <c r="F62" s="299" t="n"/>
      <c r="G62" s="299" t="inlineStr">
        <is>
          <t>шейк/фроу</t>
        </is>
      </c>
      <c r="I62" s="309" t="inlineStr">
        <is>
          <t>б/а вермут</t>
        </is>
      </c>
      <c r="J62" s="299" t="inlineStr">
        <is>
          <t xml:space="preserve">вода </t>
        </is>
      </c>
      <c r="K62" s="299" t="inlineStr">
        <is>
          <t>800 мл</t>
        </is>
      </c>
      <c r="L62" s="309" t="inlineStr">
        <is>
          <t>Налить в графин воду, добавить сахар, перемешать,</t>
        </is>
      </c>
      <c r="M62" s="299" t="inlineStr">
        <is>
          <t>0,5 л</t>
        </is>
      </c>
    </row>
    <row r="63">
      <c r="A63" s="309" t="n"/>
      <c r="B63" s="299" t="inlineStr">
        <is>
          <t>сироп персик</t>
        </is>
      </c>
      <c r="C63" s="299" t="inlineStr">
        <is>
          <t>20 мл</t>
        </is>
      </c>
      <c r="D63" s="299" t="n"/>
      <c r="E63" s="299" t="n"/>
      <c r="F63" s="299" t="n"/>
      <c r="G63" s="299" t="n"/>
      <c r="I63" s="309" t="n"/>
      <c r="J63" s="299" t="inlineStr">
        <is>
          <t>сахар песок</t>
        </is>
      </c>
      <c r="K63" s="299" t="inlineStr">
        <is>
          <t>100 грм</t>
        </is>
      </c>
      <c r="L63" s="309" t="inlineStr">
        <is>
          <t>до растворения сахара в воде, добавить остальные</t>
        </is>
      </c>
      <c r="M63" s="309" t="n"/>
    </row>
    <row r="64">
      <c r="A64" s="309" t="n"/>
      <c r="B64" s="299" t="inlineStr">
        <is>
          <t>фреш лимон</t>
        </is>
      </c>
      <c r="C64" s="299" t="inlineStr">
        <is>
          <t>10 мл</t>
        </is>
      </c>
      <c r="D64" s="299" t="n"/>
      <c r="E64" s="299" t="n"/>
      <c r="F64" s="299" t="n"/>
      <c r="G64" s="299" t="n"/>
      <c r="I64" s="309" t="n"/>
      <c r="J64" s="299" t="inlineStr">
        <is>
          <t>корень имбиря</t>
        </is>
      </c>
      <c r="K64" s="299" t="inlineStr">
        <is>
          <t>20 грм</t>
        </is>
      </c>
      <c r="L64" s="309" t="inlineStr">
        <is>
          <t>ингридикнты в графин, цедру лимона и апельсина</t>
        </is>
      </c>
      <c r="M64" s="309" t="n"/>
    </row>
    <row r="65">
      <c r="A65" s="309" t="n"/>
      <c r="B65" s="299" t="inlineStr">
        <is>
          <t>б/а просеко</t>
        </is>
      </c>
      <c r="C65" s="299" t="inlineStr">
        <is>
          <t>80 мл ( топ )</t>
        </is>
      </c>
      <c r="D65" s="299" t="n"/>
      <c r="E65" s="299" t="n"/>
      <c r="F65" s="299" t="n"/>
      <c r="G65" s="299" t="n"/>
      <c r="I65" s="309" t="n"/>
      <c r="J65" s="299" t="inlineStr">
        <is>
          <t>инжир</t>
        </is>
      </c>
      <c r="K65" s="299" t="inlineStr">
        <is>
          <t>35 грм</t>
        </is>
      </c>
      <c r="L65" s="309" t="inlineStr">
        <is>
          <t>нарезать тонкими брусочками ( длинныйми палочками )</t>
        </is>
      </c>
      <c r="M65" s="309" t="n"/>
    </row>
    <row r="66">
      <c r="I66" s="309" t="n"/>
      <c r="J66" s="299" t="inlineStr">
        <is>
          <t>с/м вишня</t>
        </is>
      </c>
      <c r="K66" s="299" t="inlineStr">
        <is>
          <t>120 грм</t>
        </is>
      </c>
      <c r="L66" s="309" t="inlineStr">
        <is>
          <t>Процедить через вафельное полотно.</t>
        </is>
      </c>
      <c r="M66" s="309" t="n"/>
    </row>
    <row r="67">
      <c r="A67" s="318" t="inlineStr">
        <is>
          <t>Название</t>
        </is>
      </c>
      <c r="B67" s="318" t="inlineStr">
        <is>
          <t>Ингридиенты</t>
        </is>
      </c>
      <c r="C67" s="318" t="inlineStr">
        <is>
          <t>кол-во</t>
        </is>
      </c>
      <c r="D67" s="318" t="inlineStr">
        <is>
          <t>Гарнир</t>
        </is>
      </c>
      <c r="E67" s="318" t="inlineStr">
        <is>
          <t>Посуда</t>
        </is>
      </c>
      <c r="F67" s="318" t="inlineStr">
        <is>
          <t>Лёд</t>
        </is>
      </c>
      <c r="G67" s="318" t="inlineStr">
        <is>
          <t>Метод</t>
        </is>
      </c>
      <c r="I67" s="309" t="n"/>
      <c r="J67" s="299" t="inlineStr">
        <is>
          <t>цедра апельсина</t>
        </is>
      </c>
      <c r="K67" s="299" t="inlineStr">
        <is>
          <t>25 грм</t>
        </is>
      </c>
      <c r="L67" s="309" t="inlineStr">
        <is>
          <t>Добавить глицерин в самом конце, после того, как процедите.</t>
        </is>
      </c>
      <c r="M67" s="309" t="n"/>
    </row>
    <row r="68">
      <c r="A68" s="58" t="inlineStr">
        <is>
          <t>Питер Паркер</t>
        </is>
      </c>
      <c r="B68" s="299" t="inlineStr">
        <is>
          <t>б/а вермут</t>
        </is>
      </c>
      <c r="C68" s="299" t="inlineStr">
        <is>
          <t>60 мл</t>
        </is>
      </c>
      <c r="D68" s="299" t="inlineStr">
        <is>
          <t>апельсин/пил</t>
        </is>
      </c>
      <c r="E68" s="299" t="inlineStr">
        <is>
          <t>рокс</t>
        </is>
      </c>
      <c r="F68" s="299" t="inlineStr">
        <is>
          <t>глыба 5х6</t>
        </is>
      </c>
      <c r="G68" s="299" t="inlineStr">
        <is>
          <t>стир</t>
        </is>
      </c>
      <c r="I68" s="309" t="n"/>
      <c r="J68" s="299" t="inlineStr">
        <is>
          <t>цедра лимона</t>
        </is>
      </c>
      <c r="K68" s="299" t="inlineStr">
        <is>
          <t>15 грм</t>
        </is>
      </c>
      <c r="L68" s="309" t="n"/>
      <c r="M68" s="309" t="n"/>
    </row>
    <row r="69">
      <c r="A69" s="309" t="n"/>
      <c r="B69" s="299" t="inlineStr">
        <is>
          <t>содовая ( топ )</t>
        </is>
      </c>
      <c r="C69" s="299" t="inlineStr">
        <is>
          <t>20 мл</t>
        </is>
      </c>
      <c r="D69" s="299" t="n"/>
      <c r="E69" s="299" t="n"/>
      <c r="F69" s="299" t="n"/>
      <c r="G69" s="299" t="n"/>
      <c r="I69" s="309" t="n"/>
      <c r="J69" s="299" t="inlineStr">
        <is>
          <t xml:space="preserve">палки корицы </t>
        </is>
      </c>
      <c r="K69" s="299" t="inlineStr">
        <is>
          <t>6 грм</t>
        </is>
      </c>
      <c r="L69" s="309" t="n"/>
      <c r="M69" s="309" t="n"/>
    </row>
    <row r="70">
      <c r="I70" s="309" t="n"/>
      <c r="J70" s="299" t="inlineStr">
        <is>
          <t>гвоздика</t>
        </is>
      </c>
      <c r="K70" s="299" t="inlineStr">
        <is>
          <t>0,5 грм</t>
        </is>
      </c>
      <c r="L70" s="309" t="n"/>
      <c r="M70" s="309" t="n"/>
    </row>
    <row r="71">
      <c r="I71" s="309" t="n"/>
      <c r="J71" s="299" t="inlineStr">
        <is>
          <t>ромашка суш.</t>
        </is>
      </c>
      <c r="K71" s="299" t="inlineStr">
        <is>
          <t>1 грм</t>
        </is>
      </c>
      <c r="L71" s="309" t="n"/>
      <c r="M71" s="309" t="n"/>
    </row>
    <row r="72">
      <c r="I72" s="309" t="n"/>
      <c r="J72" s="299" t="inlineStr">
        <is>
          <t>роза</t>
        </is>
      </c>
      <c r="K72" s="299" t="inlineStr">
        <is>
          <t>3 грм</t>
        </is>
      </c>
      <c r="L72" s="309" t="n"/>
      <c r="M72" s="309" t="n"/>
    </row>
    <row r="73">
      <c r="I73" s="309" t="n"/>
      <c r="J73" s="299" t="inlineStr">
        <is>
          <t>каркаде</t>
        </is>
      </c>
      <c r="K73" s="299" t="inlineStr">
        <is>
          <t>3 грм</t>
        </is>
      </c>
      <c r="L73" s="309" t="n"/>
      <c r="M73" s="309" t="n"/>
    </row>
    <row r="74">
      <c r="I74" s="309" t="n"/>
      <c r="J74" s="299" t="inlineStr">
        <is>
          <t>эстрагон суш.</t>
        </is>
      </c>
      <c r="K74" s="299" t="inlineStr">
        <is>
          <t>0,4 грм</t>
        </is>
      </c>
      <c r="L74" s="309" t="n"/>
      <c r="M74" s="309" t="n"/>
    </row>
    <row r="75">
      <c r="I75" s="309" t="n"/>
      <c r="J75" s="299" t="inlineStr">
        <is>
          <t>полынь</t>
        </is>
      </c>
      <c r="K75" s="299" t="inlineStr">
        <is>
          <t>2 грм</t>
        </is>
      </c>
      <c r="L75" s="309" t="n"/>
      <c r="M75" s="309" t="n"/>
    </row>
    <row r="76">
      <c r="I76" s="44" t="n"/>
      <c r="J76" s="299" t="inlineStr">
        <is>
          <t>глицерин</t>
        </is>
      </c>
      <c r="K76" s="299" t="inlineStr">
        <is>
          <t>40 мл</t>
        </is>
      </c>
      <c r="L76" s="44" t="n"/>
      <c r="M76" s="44" t="n"/>
    </row>
    <row r="77">
      <c r="D77" s="364" t="inlineStr">
        <is>
          <t>чай/кофе</t>
        </is>
      </c>
    </row>
    <row r="78">
      <c r="A78" s="318" t="inlineStr">
        <is>
          <t>Название</t>
        </is>
      </c>
      <c r="B78" s="318" t="inlineStr">
        <is>
          <t>Ингридиенты</t>
        </is>
      </c>
      <c r="C78" s="318" t="inlineStr">
        <is>
          <t>кол-во</t>
        </is>
      </c>
      <c r="D78" s="318" t="inlineStr">
        <is>
          <t>Гарнир</t>
        </is>
      </c>
      <c r="E78" s="318" t="inlineStr">
        <is>
          <t>Посуда</t>
        </is>
      </c>
      <c r="F78" s="318" t="inlineStr">
        <is>
          <t>Лёд</t>
        </is>
      </c>
      <c r="G78" s="318" t="inlineStr">
        <is>
          <t>Метод</t>
        </is>
      </c>
      <c r="I78" s="387" t="inlineStr">
        <is>
          <t>Название</t>
        </is>
      </c>
      <c r="J78" s="387" t="inlineStr">
        <is>
          <t>Ингридиенты</t>
        </is>
      </c>
      <c r="K78" s="387" t="inlineStr">
        <is>
          <t>Кол-во</t>
        </is>
      </c>
      <c r="L78" s="387" t="inlineStr">
        <is>
          <t>Способ</t>
        </is>
      </c>
      <c r="M78" s="387" t="inlineStr">
        <is>
          <t>Выход</t>
        </is>
      </c>
    </row>
    <row r="79">
      <c r="A79" s="309" t="inlineStr">
        <is>
          <t>Нуар</t>
        </is>
      </c>
      <c r="B79" s="299" t="inlineStr">
        <is>
          <t>вода</t>
        </is>
      </c>
      <c r="C79" s="299" t="inlineStr">
        <is>
          <t>90 мл</t>
        </is>
      </c>
      <c r="D79" s="299" t="inlineStr">
        <is>
          <t>апельсиновая пудра</t>
        </is>
      </c>
      <c r="E79" s="299" t="inlineStr">
        <is>
          <t>хайбол</t>
        </is>
      </c>
      <c r="F79" s="299" t="n"/>
      <c r="G79" s="299" t="inlineStr">
        <is>
          <t>стир</t>
        </is>
      </c>
      <c r="I79" s="365" t="inlineStr">
        <is>
          <t>Cold Brew</t>
        </is>
      </c>
      <c r="J79" s="299" t="inlineStr">
        <is>
          <t>кофе ( молотый )</t>
        </is>
      </c>
      <c r="K79" s="299" t="inlineStr">
        <is>
          <t>80 грм</t>
        </is>
      </c>
      <c r="L79" s="309" t="inlineStr">
        <is>
          <t xml:space="preserve">Проливать воду через кофе, спомощью кофе - фильтр. </t>
        </is>
      </c>
      <c r="M79" s="299" t="inlineStr">
        <is>
          <t>0,5 л</t>
        </is>
      </c>
    </row>
    <row r="80">
      <c r="A80" s="309" t="n"/>
      <c r="B80" s="299" t="inlineStr">
        <is>
          <t>Cold Brew</t>
        </is>
      </c>
      <c r="C80" s="299" t="inlineStr">
        <is>
          <t>45  мл</t>
        </is>
      </c>
      <c r="D80" s="299" t="n"/>
      <c r="E80" s="299" t="n"/>
      <c r="F80" s="299" t="n"/>
      <c r="G80" s="299" t="n"/>
      <c r="I80" s="44" t="n"/>
      <c r="J80" s="299" t="inlineStr">
        <is>
          <t>вода</t>
        </is>
      </c>
      <c r="K80" s="299" t="inlineStr">
        <is>
          <t>0,7 л</t>
        </is>
      </c>
      <c r="L80" s="309" t="inlineStr">
        <is>
          <t>Хранить в холодильнике ( 3 дня максимум ).</t>
        </is>
      </c>
      <c r="M80" s="309" t="n"/>
    </row>
    <row r="81">
      <c r="A81" s="309" t="n"/>
      <c r="B81" s="299" t="inlineStr">
        <is>
          <t>Лю Бао концентрат</t>
        </is>
      </c>
      <c r="C81" s="299" t="inlineStr">
        <is>
          <t>45 мл</t>
        </is>
      </c>
      <c r="D81" s="299" t="n"/>
      <c r="E81" s="299" t="n"/>
      <c r="F81" s="299" t="n"/>
      <c r="G81" s="299" t="n"/>
    </row>
    <row r="82">
      <c r="A82" s="309" t="n"/>
      <c r="B82" s="366" t="inlineStr">
        <is>
          <t>Тапиока</t>
        </is>
      </c>
      <c r="C82" s="366" t="inlineStr">
        <is>
          <t>40 грм</t>
        </is>
      </c>
      <c r="D82" s="299" t="n"/>
      <c r="E82" s="299" t="n"/>
      <c r="F82" s="299" t="n"/>
      <c r="G82" s="299" t="n"/>
      <c r="I82" s="387" t="inlineStr">
        <is>
          <t>Название</t>
        </is>
      </c>
      <c r="J82" s="387" t="inlineStr">
        <is>
          <t>Ингридиенты</t>
        </is>
      </c>
      <c r="K82" s="387" t="inlineStr">
        <is>
          <t>Кол-во</t>
        </is>
      </c>
      <c r="L82" s="387" t="inlineStr">
        <is>
          <t>Способ</t>
        </is>
      </c>
      <c r="M82" s="387" t="inlineStr">
        <is>
          <t>Выход</t>
        </is>
      </c>
    </row>
    <row r="83">
      <c r="A83" s="309" t="n"/>
      <c r="B83" s="366" t="inlineStr">
        <is>
          <t>Апельсиновая пена</t>
        </is>
      </c>
      <c r="C83" s="366" t="inlineStr">
        <is>
          <t>50 мл ( топ )</t>
        </is>
      </c>
      <c r="D83" s="299" t="n"/>
      <c r="E83" s="299" t="n"/>
      <c r="F83" s="299" t="n"/>
      <c r="G83" s="299" t="n"/>
      <c r="I83" s="365" t="inlineStr">
        <is>
          <t>Лю Бао концентрат</t>
        </is>
      </c>
      <c r="J83" s="366" t="inlineStr">
        <is>
          <t>Сок Rich вишня</t>
        </is>
      </c>
      <c r="K83" s="366" t="inlineStr">
        <is>
          <t>300 мл</t>
        </is>
      </c>
      <c r="L83" s="309" t="inlineStr">
        <is>
          <t>В сотейнике смешать все ингриденты и варить до кипения, важно:</t>
        </is>
      </c>
      <c r="M83" s="299" t="inlineStr">
        <is>
          <t xml:space="preserve"> 1 л</t>
        </is>
      </c>
    </row>
    <row r="84">
      <c r="A84" s="309" t="n"/>
      <c r="B84" s="299" t="n"/>
      <c r="C84" s="299" t="n"/>
      <c r="D84" s="299" t="n"/>
      <c r="E84" s="299" t="n"/>
      <c r="F84" s="299" t="n"/>
      <c r="G84" s="299" t="n"/>
      <c r="I84" s="44" t="n"/>
      <c r="J84" s="366" t="inlineStr">
        <is>
          <t xml:space="preserve">вода </t>
        </is>
      </c>
      <c r="K84" s="366" t="inlineStr">
        <is>
          <t>500 мл</t>
        </is>
      </c>
      <c r="L84" s="309" t="inlineStr">
        <is>
          <t xml:space="preserve">постоянно перемешивать. После того как концентрат закипит, нужно </t>
        </is>
      </c>
      <c r="M84" s="367" t="n"/>
    </row>
    <row r="85">
      <c r="I85" s="44" t="n"/>
      <c r="J85" s="366" t="inlineStr">
        <is>
          <t>сахар песок</t>
        </is>
      </c>
      <c r="K85" s="366" t="inlineStr">
        <is>
          <t>500 грм</t>
        </is>
      </c>
      <c r="L85" s="309" t="inlineStr">
        <is>
          <t xml:space="preserve">уменьшить температуру на индукционной плите до минимума и </t>
        </is>
      </c>
      <c r="M85" s="367" t="n"/>
    </row>
    <row r="86">
      <c r="I86" s="44" t="n"/>
      <c r="J86" s="366" t="inlineStr">
        <is>
          <t>пуэр</t>
        </is>
      </c>
      <c r="K86" s="366" t="inlineStr">
        <is>
          <t>10 грм</t>
        </is>
      </c>
      <c r="L86" s="309" t="inlineStr">
        <is>
          <t>продолжать варить еще 3 минуты, также постоянно перемешивая.</t>
        </is>
      </c>
      <c r="M86" s="367" t="n"/>
    </row>
    <row r="87">
      <c r="I87" s="44" t="n"/>
      <c r="J87" s="366" t="inlineStr">
        <is>
          <t>цедра лайма</t>
        </is>
      </c>
      <c r="K87" s="366" t="inlineStr">
        <is>
          <t>2 лайма</t>
        </is>
      </c>
      <c r="L87" s="309" t="inlineStr">
        <is>
          <t xml:space="preserve">Процедить через вафельное полотно. Дать остыть натуральным </t>
        </is>
      </c>
      <c r="M87" s="367" t="n"/>
    </row>
    <row r="88">
      <c r="I88" s="44" t="n"/>
      <c r="J88" s="366" t="inlineStr">
        <is>
          <t>цедра апельсина</t>
        </is>
      </c>
      <c r="K88" s="299" t="inlineStr">
        <is>
          <t>3 апельсина</t>
        </is>
      </c>
      <c r="L88" s="309" t="inlineStr">
        <is>
          <t>путём.</t>
        </is>
      </c>
      <c r="M88" s="367" t="n"/>
    </row>
    <row r="89"/>
    <row r="90">
      <c r="I90" s="387" t="inlineStr">
        <is>
          <t>Название</t>
        </is>
      </c>
      <c r="J90" s="387" t="inlineStr">
        <is>
          <t>Ингридиенты</t>
        </is>
      </c>
      <c r="K90" s="387" t="inlineStr">
        <is>
          <t>Кол-во</t>
        </is>
      </c>
      <c r="L90" s="387" t="inlineStr">
        <is>
          <t>Способ</t>
        </is>
      </c>
      <c r="M90" s="387" t="inlineStr">
        <is>
          <t>Выход</t>
        </is>
      </c>
    </row>
    <row r="91">
      <c r="I91" s="365" t="inlineStr">
        <is>
          <t>Апельсиновая пена</t>
        </is>
      </c>
      <c r="J91" s="366" t="inlineStr">
        <is>
          <t>Апелисновый сок Rich</t>
        </is>
      </c>
      <c r="K91" s="366" t="inlineStr">
        <is>
          <t>0,5 кг</t>
        </is>
      </c>
      <c r="L91" s="58" t="inlineStr">
        <is>
          <t>Смешать все ингридиенты в блендере. Пробить. Залить всю массу в</t>
        </is>
      </c>
      <c r="M91" s="366" t="inlineStr">
        <is>
          <t>0,6 л</t>
        </is>
      </c>
    </row>
    <row r="92">
      <c r="I92" s="309" t="n"/>
      <c r="J92" s="366" t="inlineStr">
        <is>
          <t>Сироп мандарин</t>
        </is>
      </c>
      <c r="K92" s="366" t="inlineStr">
        <is>
          <t>0,1 л</t>
        </is>
      </c>
      <c r="L92" s="58" t="inlineStr">
        <is>
          <t xml:space="preserve">сифон. Использовать баллон для сливок ( cream ). Дать отдохнуть </t>
        </is>
      </c>
      <c r="M92" s="58" t="n"/>
    </row>
    <row r="93">
      <c r="I93" s="309" t="n"/>
      <c r="J93" s="366" t="inlineStr">
        <is>
          <t xml:space="preserve">Вода </t>
        </is>
      </c>
      <c r="K93" s="366" t="inlineStr">
        <is>
          <t>0,2 л</t>
        </is>
      </c>
      <c r="L93" s="58" t="inlineStr">
        <is>
          <t>30 мин - 1 час.</t>
        </is>
      </c>
      <c r="M93" s="58" t="n"/>
    </row>
    <row r="94">
      <c r="I94" s="309" t="n"/>
      <c r="J94" s="366" t="inlineStr">
        <is>
          <t>Баблдроп</t>
        </is>
      </c>
      <c r="K94" s="366" t="inlineStr">
        <is>
          <t>5 дроп</t>
        </is>
      </c>
      <c r="L94" s="58" t="n"/>
      <c r="M94" s="58" t="n"/>
    </row>
    <row r="95">
      <c r="I95" s="309" t="n"/>
      <c r="J95" s="366" t="inlineStr">
        <is>
          <t>Ксантановая камель</t>
        </is>
      </c>
      <c r="K95" s="366" t="inlineStr">
        <is>
          <t>1,8 грм ( не больше )</t>
        </is>
      </c>
      <c r="L95" s="58" t="n"/>
      <c r="M95" s="58" t="n"/>
    </row>
    <row r="96">
      <c r="I96" s="44" t="n"/>
      <c r="J96" s="299" t="inlineStr">
        <is>
          <t>баллон ( сливки )</t>
        </is>
      </c>
      <c r="K96" s="299" t="inlineStr">
        <is>
          <t>1 шт</t>
        </is>
      </c>
      <c r="L96" s="44" t="n"/>
      <c r="M96" s="44" t="n"/>
    </row>
    <row r="97">
      <c r="L97" s="460" t="n"/>
    </row>
    <row r="98">
      <c r="I98" s="387" t="inlineStr">
        <is>
          <t>Название</t>
        </is>
      </c>
      <c r="J98" s="387" t="inlineStr">
        <is>
          <t>Ингридиенты</t>
        </is>
      </c>
      <c r="K98" s="387" t="inlineStr">
        <is>
          <t>Кол-во</t>
        </is>
      </c>
      <c r="L98" s="387" t="inlineStr">
        <is>
          <t>Способ</t>
        </is>
      </c>
      <c r="M98" s="387" t="inlineStr">
        <is>
          <t>Выход</t>
        </is>
      </c>
    </row>
    <row r="99">
      <c r="I99" s="309" t="inlineStr">
        <is>
          <t>Тапиока</t>
        </is>
      </c>
      <c r="J99" s="299" t="inlineStr">
        <is>
          <t>Тапиока</t>
        </is>
      </c>
      <c r="K99" s="299" t="inlineStr">
        <is>
          <t>1 кг</t>
        </is>
      </c>
      <c r="L99" s="58" t="inlineStr">
        <is>
          <t>Смотри скрин-шоты</t>
        </is>
      </c>
      <c r="M99" s="299" t="inlineStr">
        <is>
          <t>1 кг</t>
        </is>
      </c>
    </row>
    <row r="100">
      <c r="I100" s="309" t="n"/>
      <c r="J100" s="299" t="inlineStr">
        <is>
          <t>Сироп для тапиоки</t>
        </is>
      </c>
      <c r="K100" s="299" t="inlineStr">
        <is>
          <t>200 грм</t>
        </is>
      </c>
      <c r="L100" s="309" t="n"/>
      <c r="M100" s="309" t="n"/>
    </row>
    <row r="101">
      <c r="H101" s="331" t="n">
        <v>46216</v>
      </c>
    </row>
    <row r="102">
      <c r="A102" s="305" t="inlineStr">
        <is>
          <t>Название</t>
        </is>
      </c>
      <c r="B102" s="306" t="inlineStr">
        <is>
          <t>Ингредиент</t>
        </is>
      </c>
      <c r="C102" s="306" t="inlineStr">
        <is>
          <t>Кол-во</t>
        </is>
      </c>
      <c r="D102" s="306" t="inlineStr">
        <is>
          <t>Гарнир</t>
        </is>
      </c>
      <c r="E102" s="306" t="inlineStr">
        <is>
          <t>Посуда</t>
        </is>
      </c>
      <c r="F102" s="306" t="inlineStr">
        <is>
          <t>Метод</t>
        </is>
      </c>
      <c r="G102" s="318" t="inlineStr">
        <is>
          <t>Метод</t>
        </is>
      </c>
    </row>
    <row r="103">
      <c r="A103" s="369" t="inlineStr">
        <is>
          <t>MAGIC</t>
        </is>
      </c>
      <c r="B103" s="372" t="inlineStr">
        <is>
          <t>Rich сок 0,25 ( томат )</t>
        </is>
      </c>
      <c r="C103" s="307" t="inlineStr">
        <is>
          <t>1шт</t>
        </is>
      </c>
      <c r="D103" s="307" t="inlineStr">
        <is>
          <t>Оливки/Слайс огурца</t>
        </is>
      </c>
      <c r="E103" s="307" t="inlineStr">
        <is>
          <t>Хайболл</t>
        </is>
      </c>
      <c r="F103" s="307" t="inlineStr">
        <is>
          <t>Кубан ролл / Фроулинг</t>
        </is>
      </c>
      <c r="G103" s="299" t="inlineStr">
        <is>
          <t>стир</t>
        </is>
      </c>
    </row>
    <row r="104">
      <c r="A104" s="301" t="n"/>
      <c r="B104" s="372" t="inlineStr">
        <is>
          <t>Tundra ( vodka )</t>
        </is>
      </c>
      <c r="C104" s="307" t="n">
        <v>50</v>
      </c>
      <c r="D104" s="321" t="inlineStr">
        <is>
          <t>5/10 грм</t>
        </is>
      </c>
      <c r="E104" s="303" t="n"/>
      <c r="F104" s="303" t="n"/>
      <c r="G104" s="299" t="n"/>
    </row>
    <row r="105">
      <c r="A105" s="301" t="n"/>
      <c r="B105" s="372" t="inlineStr">
        <is>
          <t>Сок лимона</t>
        </is>
      </c>
      <c r="C105" s="307" t="n">
        <v>15</v>
      </c>
      <c r="D105" s="303" t="n"/>
      <c r="E105" s="303" t="n"/>
      <c r="F105" s="303" t="n"/>
      <c r="G105" s="299" t="n"/>
    </row>
    <row r="106">
      <c r="A106" s="301" t="n"/>
      <c r="B106" s="372" t="inlineStr">
        <is>
          <t>Сироп мёд</t>
        </is>
      </c>
      <c r="C106" s="307" t="n">
        <v>10</v>
      </c>
      <c r="D106" s="303" t="n"/>
      <c r="E106" s="303" t="n"/>
      <c r="F106" s="303" t="n"/>
      <c r="G106" s="299" t="n"/>
    </row>
    <row r="107">
      <c r="A107" s="301" t="n"/>
      <c r="B107" s="372" t="inlineStr">
        <is>
          <t>Тобаско</t>
        </is>
      </c>
      <c r="C107" s="307" t="n">
        <v>2</v>
      </c>
      <c r="D107" s="303" t="n"/>
      <c r="E107" s="303" t="n"/>
      <c r="F107" s="303" t="n"/>
      <c r="G107" s="299" t="n"/>
    </row>
    <row r="108">
      <c r="A108" s="301" t="n"/>
      <c r="B108" s="372" t="inlineStr">
        <is>
          <t>Ворчестер</t>
        </is>
      </c>
      <c r="C108" s="307" t="n">
        <v>6</v>
      </c>
      <c r="D108" s="303" t="n"/>
      <c r="E108" s="303" t="n"/>
      <c r="F108" s="303" t="n"/>
      <c r="G108" s="299" t="n"/>
    </row>
    <row r="109">
      <c r="A109" s="301" t="n"/>
      <c r="B109" s="372" t="inlineStr">
        <is>
          <t>Соль</t>
        </is>
      </c>
      <c r="C109" s="307" t="n">
        <v>3</v>
      </c>
      <c r="D109" s="303" t="n"/>
      <c r="E109" s="303" t="n"/>
      <c r="F109" s="303" t="n"/>
      <c r="G109" s="44" t="n"/>
    </row>
    <row r="110">
      <c r="A110" s="301" t="n"/>
      <c r="B110" s="372" t="inlineStr">
        <is>
          <t>Оливки</t>
        </is>
      </c>
      <c r="C110" s="307" t="inlineStr">
        <is>
          <t>10-20 грм</t>
        </is>
      </c>
      <c r="D110" s="303" t="n"/>
      <c r="E110" s="303" t="n"/>
      <c r="F110" s="303" t="n"/>
      <c r="G110" s="44" t="n"/>
    </row>
    <row r="111">
      <c r="A111" s="305" t="inlineStr">
        <is>
          <t>Название</t>
        </is>
      </c>
      <c r="B111" s="306" t="inlineStr">
        <is>
          <t>Ингредиент</t>
        </is>
      </c>
      <c r="C111" s="306" t="inlineStr">
        <is>
          <t>Кол-во</t>
        </is>
      </c>
      <c r="D111" s="306" t="inlineStr">
        <is>
          <t>Гарнир</t>
        </is>
      </c>
      <c r="E111" s="306" t="inlineStr">
        <is>
          <t>Посуда</t>
        </is>
      </c>
      <c r="F111" s="306" t="inlineStr">
        <is>
          <t>Метод</t>
        </is>
      </c>
      <c r="G111" s="318" t="inlineStr">
        <is>
          <t>Метод</t>
        </is>
      </c>
    </row>
    <row r="112">
      <c r="A112" s="369" t="inlineStr">
        <is>
          <t>MAGIC б/а</t>
        </is>
      </c>
      <c r="B112" s="372" t="inlineStr">
        <is>
          <t>Rich сок 0,25 ( томат )</t>
        </is>
      </c>
      <c r="C112" s="307" t="inlineStr">
        <is>
          <t>1шт</t>
        </is>
      </c>
      <c r="D112" s="307" t="inlineStr">
        <is>
          <t>Оливки/Слайс огурца</t>
        </is>
      </c>
      <c r="E112" s="307" t="inlineStr">
        <is>
          <t>Хайболл</t>
        </is>
      </c>
      <c r="F112" s="307" t="inlineStr">
        <is>
          <t>Кубан ролл / Фроулинг</t>
        </is>
      </c>
      <c r="G112" s="299" t="inlineStr">
        <is>
          <t>стир</t>
        </is>
      </c>
    </row>
    <row r="113">
      <c r="A113" s="301" t="n"/>
      <c r="B113" s="372" t="inlineStr">
        <is>
          <t>Сок лимона</t>
        </is>
      </c>
      <c r="C113" s="373" t="n">
        <v>15</v>
      </c>
      <c r="D113" s="321" t="inlineStr">
        <is>
          <t>5/10 грм</t>
        </is>
      </c>
      <c r="E113" s="303" t="n"/>
      <c r="F113" s="303" t="n"/>
      <c r="G113" s="299" t="n"/>
    </row>
    <row r="114">
      <c r="A114" s="301" t="n"/>
      <c r="B114" s="372" t="inlineStr">
        <is>
          <t>Сироп мёд</t>
        </is>
      </c>
      <c r="C114" s="373" t="n">
        <v>10</v>
      </c>
      <c r="D114" s="303" t="n"/>
      <c r="E114" s="303" t="n"/>
      <c r="F114" s="303" t="n"/>
      <c r="G114" s="299" t="n"/>
    </row>
    <row r="115">
      <c r="A115" s="301" t="n"/>
      <c r="B115" s="372" t="inlineStr">
        <is>
          <t>Тобаско</t>
        </is>
      </c>
      <c r="C115" s="373" t="n">
        <v>2</v>
      </c>
      <c r="D115" s="303" t="n"/>
      <c r="E115" s="303" t="n"/>
      <c r="F115" s="303" t="n"/>
      <c r="G115" s="299" t="n"/>
    </row>
    <row r="116">
      <c r="A116" s="301" t="n"/>
      <c r="B116" s="372" t="inlineStr">
        <is>
          <t>Ворчестер</t>
        </is>
      </c>
      <c r="C116" s="373" t="n">
        <v>6</v>
      </c>
      <c r="D116" s="303" t="n"/>
      <c r="E116" s="303" t="n"/>
      <c r="F116" s="303" t="n"/>
      <c r="G116" s="299" t="n"/>
    </row>
    <row r="117">
      <c r="A117" s="301" t="n"/>
      <c r="B117" s="372" t="inlineStr">
        <is>
          <t>Соль</t>
        </is>
      </c>
      <c r="C117" s="373" t="n">
        <v>3</v>
      </c>
      <c r="D117" s="303" t="n"/>
      <c r="E117" s="303" t="n"/>
      <c r="F117" s="303" t="n"/>
      <c r="G117" s="299" t="n"/>
    </row>
    <row r="118">
      <c r="A118" s="301" t="n"/>
      <c r="B118" s="372" t="inlineStr">
        <is>
          <t>Оливки</t>
        </is>
      </c>
      <c r="C118" s="373" t="inlineStr">
        <is>
          <t>10-20 грм</t>
        </is>
      </c>
      <c r="D118" s="303" t="n"/>
      <c r="E118" s="303" t="n"/>
      <c r="F118" s="303" t="n"/>
      <c r="G118" s="44" t="n"/>
    </row>
    <row r="119">
      <c r="A119" s="301" t="n"/>
      <c r="B119" s="372" t="n"/>
      <c r="C119" s="307" t="n"/>
      <c r="D119" s="303" t="n"/>
      <c r="E119" s="303" t="n"/>
      <c r="F119" s="303" t="n"/>
      <c r="G119" s="44" t="n"/>
    </row>
    <row r="120">
      <c r="B120" s="364" t="n"/>
      <c r="C120" s="364" t="n"/>
      <c r="H120" s="374" t="inlineStr">
        <is>
          <t>ивент 06.09.26</t>
        </is>
      </c>
    </row>
    <row r="121">
      <c r="A121" s="375" t="inlineStr">
        <is>
          <t>Название</t>
        </is>
      </c>
      <c r="B121" s="375" t="inlineStr">
        <is>
          <t>Ингредиент</t>
        </is>
      </c>
      <c r="C121" s="375" t="inlineStr">
        <is>
          <t>Кол-во</t>
        </is>
      </c>
      <c r="D121" s="375" t="inlineStr">
        <is>
          <t>Гарнир</t>
        </is>
      </c>
      <c r="E121" s="375" t="inlineStr">
        <is>
          <t>Посуда</t>
        </is>
      </c>
      <c r="F121" s="375" t="inlineStr">
        <is>
          <t>лёд</t>
        </is>
      </c>
      <c r="G121" s="318" t="inlineStr">
        <is>
          <t>Метод</t>
        </is>
      </c>
      <c r="I121" s="387" t="inlineStr">
        <is>
          <t>Название</t>
        </is>
      </c>
      <c r="J121" s="387" t="inlineStr">
        <is>
          <t>Ингридиенты</t>
        </is>
      </c>
      <c r="K121" s="387" t="inlineStr">
        <is>
          <t>Кол-во</t>
        </is>
      </c>
      <c r="L121" s="387" t="inlineStr">
        <is>
          <t>Способ</t>
        </is>
      </c>
      <c r="M121" s="387" t="inlineStr">
        <is>
          <t>Выход</t>
        </is>
      </c>
    </row>
    <row r="122">
      <c r="A122" s="379" t="inlineStr">
        <is>
          <t>Vice City</t>
        </is>
      </c>
      <c r="B122" s="380" t="inlineStr">
        <is>
          <t xml:space="preserve">водка </t>
        </is>
      </c>
      <c r="C122" s="380" t="n">
        <v>40</v>
      </c>
      <c r="D122" s="380" t="inlineStr">
        <is>
          <t>нет</t>
        </is>
      </c>
      <c r="E122" s="380" t="inlineStr">
        <is>
          <t>купе</t>
        </is>
      </c>
      <c r="F122" s="380" t="inlineStr">
        <is>
          <t>нет</t>
        </is>
      </c>
      <c r="G122" s="380" t="inlineStr">
        <is>
          <t>стир</t>
        </is>
      </c>
      <c r="I122" s="337" t="inlineStr">
        <is>
          <t>Кордиал клюква</t>
        </is>
      </c>
      <c r="J122" s="337" t="inlineStr">
        <is>
          <t>клюква с/м</t>
        </is>
      </c>
      <c r="K122" s="337" t="inlineStr">
        <is>
          <t>400 грм</t>
        </is>
      </c>
      <c r="L122" s="381" t="inlineStr">
        <is>
          <t>В сотейнике смешать все ингридиенты, кроме м. кислоты</t>
        </is>
      </c>
      <c r="M122" s="337" t="inlineStr">
        <is>
          <t>1,5 л</t>
        </is>
      </c>
    </row>
    <row r="123">
      <c r="A123" s="379" t="n"/>
      <c r="B123" s="380" t="inlineStr">
        <is>
          <t>куантро</t>
        </is>
      </c>
      <c r="C123" s="380" t="n">
        <v>10</v>
      </c>
      <c r="D123" s="380" t="n"/>
      <c r="E123" s="380" t="n"/>
      <c r="F123" s="380" t="n"/>
      <c r="G123" s="380" t="n"/>
      <c r="I123" s="381" t="n"/>
      <c r="J123" s="337" t="inlineStr">
        <is>
          <t>морс</t>
        </is>
      </c>
      <c r="K123" s="337" t="inlineStr">
        <is>
          <t>500 грм</t>
        </is>
      </c>
      <c r="L123" s="381" t="inlineStr">
        <is>
          <t>Довести до кипения</t>
        </is>
      </c>
      <c r="M123" s="381" t="n"/>
    </row>
    <row r="124">
      <c r="A124" s="379" t="n"/>
      <c r="B124" s="380" t="inlineStr">
        <is>
          <t>Sarti Rosso</t>
        </is>
      </c>
      <c r="C124" s="380" t="n">
        <v>20</v>
      </c>
      <c r="D124" s="380" t="n"/>
      <c r="E124" s="380" t="n"/>
      <c r="F124" s="380" t="n"/>
      <c r="G124" s="380" t="n"/>
      <c r="I124" s="381" t="n"/>
      <c r="J124" s="337" t="inlineStr">
        <is>
          <t>вода</t>
        </is>
      </c>
      <c r="K124" s="337" t="inlineStr">
        <is>
          <t>500 грм</t>
        </is>
      </c>
      <c r="L124" s="381" t="inlineStr">
        <is>
          <t xml:space="preserve">Дать остыть </t>
        </is>
      </c>
      <c r="M124" s="381" t="n"/>
    </row>
    <row r="125">
      <c r="A125" s="379" t="n"/>
      <c r="B125" s="380" t="inlineStr">
        <is>
          <t>Кордиал клюква</t>
        </is>
      </c>
      <c r="C125" s="380" t="n">
        <v>20</v>
      </c>
      <c r="D125" s="380" t="n"/>
      <c r="E125" s="380" t="n"/>
      <c r="F125" s="380" t="n"/>
      <c r="G125" s="380" t="n"/>
      <c r="I125" s="381" t="n"/>
      <c r="J125" s="337" t="inlineStr">
        <is>
          <t>сахар</t>
        </is>
      </c>
      <c r="K125" s="337" t="inlineStr">
        <is>
          <t>400 грм</t>
        </is>
      </c>
      <c r="L125" s="381" t="inlineStr">
        <is>
          <t>Процедить</t>
        </is>
      </c>
      <c r="M125" s="381" t="n"/>
    </row>
    <row r="126">
      <c r="A126" s="375" t="inlineStr">
        <is>
          <t>Название</t>
        </is>
      </c>
      <c r="B126" s="375" t="inlineStr">
        <is>
          <t>Ингредиент</t>
        </is>
      </c>
      <c r="C126" s="375" t="inlineStr">
        <is>
          <t>Кол-во</t>
        </is>
      </c>
      <c r="D126" s="375" t="inlineStr">
        <is>
          <t>Гарнир</t>
        </is>
      </c>
      <c r="E126" s="375" t="inlineStr">
        <is>
          <t>Посуда</t>
        </is>
      </c>
      <c r="F126" s="375" t="inlineStr">
        <is>
          <t>лёд</t>
        </is>
      </c>
      <c r="G126" s="318" t="inlineStr">
        <is>
          <t>Метод</t>
        </is>
      </c>
      <c r="I126" s="381" t="n"/>
      <c r="J126" s="337" t="inlineStr">
        <is>
          <t>молочная кислота</t>
        </is>
      </c>
      <c r="K126" s="337" t="inlineStr">
        <is>
          <t>50 мл</t>
        </is>
      </c>
      <c r="L126" s="381" t="inlineStr">
        <is>
          <t xml:space="preserve">Добавить молочную кислоту </t>
        </is>
      </c>
      <c r="M126" s="381" t="n"/>
    </row>
    <row r="127">
      <c r="A127" s="379" t="inlineStr">
        <is>
          <t>Vice City б/а</t>
        </is>
      </c>
      <c r="B127" s="380" t="inlineStr">
        <is>
          <t>апельсиновый ликер б/а</t>
        </is>
      </c>
      <c r="C127" s="380" t="n">
        <v>40</v>
      </c>
      <c r="D127" s="380" t="inlineStr">
        <is>
          <t>нет</t>
        </is>
      </c>
      <c r="E127" s="380" t="inlineStr">
        <is>
          <t>купе</t>
        </is>
      </c>
      <c r="F127" s="380" t="inlineStr">
        <is>
          <t>нет</t>
        </is>
      </c>
      <c r="G127" s="380" t="inlineStr">
        <is>
          <t>стир</t>
        </is>
      </c>
    </row>
    <row r="128">
      <c r="A128" s="379" t="n"/>
      <c r="B128" s="380" t="inlineStr">
        <is>
          <t>кордиал манго/маракуйя</t>
        </is>
      </c>
      <c r="C128" s="380" t="n">
        <v>20</v>
      </c>
      <c r="D128" s="380" t="n"/>
      <c r="E128" s="380" t="n"/>
      <c r="F128" s="380" t="n"/>
      <c r="G128" s="380" t="n"/>
      <c r="I128" s="387" t="inlineStr">
        <is>
          <t>Название</t>
        </is>
      </c>
      <c r="J128" s="387" t="inlineStr">
        <is>
          <t>Ингридиенты</t>
        </is>
      </c>
      <c r="K128" s="387" t="inlineStr">
        <is>
          <t>Кол-во</t>
        </is>
      </c>
      <c r="L128" s="387" t="inlineStr">
        <is>
          <t>Способ</t>
        </is>
      </c>
      <c r="M128" s="387" t="inlineStr">
        <is>
          <t>Выход</t>
        </is>
      </c>
    </row>
    <row r="129">
      <c r="A129" s="379" t="n"/>
      <c r="B129" s="380" t="inlineStr">
        <is>
          <t>кордиал клюква</t>
        </is>
      </c>
      <c r="C129" s="380" t="n">
        <v>20</v>
      </c>
      <c r="D129" s="380" t="n"/>
      <c r="E129" s="380" t="n"/>
      <c r="F129" s="380" t="n"/>
      <c r="G129" s="380" t="n"/>
      <c r="I129" s="381" t="inlineStr">
        <is>
          <t>Кордиал лаванда</t>
        </is>
      </c>
      <c r="J129" s="337" t="inlineStr">
        <is>
          <t>лаванда сух.</t>
        </is>
      </c>
      <c r="K129" s="337" t="inlineStr">
        <is>
          <t>50 грм</t>
        </is>
      </c>
      <c r="L129" s="381" t="inlineStr">
        <is>
          <t>В сотейнике смешать все ингридиенты, кроме м. кислотыи цедры</t>
        </is>
      </c>
      <c r="M129" s="337" t="inlineStr">
        <is>
          <t>1 л</t>
        </is>
      </c>
    </row>
    <row r="130">
      <c r="A130" s="375" t="inlineStr">
        <is>
          <t>Название</t>
        </is>
      </c>
      <c r="B130" s="375" t="inlineStr">
        <is>
          <t>Ингредиент</t>
        </is>
      </c>
      <c r="C130" s="375" t="inlineStr">
        <is>
          <t>Кол-во</t>
        </is>
      </c>
      <c r="D130" s="375" t="inlineStr">
        <is>
          <t>Гарнир</t>
        </is>
      </c>
      <c r="E130" s="375" t="inlineStr">
        <is>
          <t>Посуда</t>
        </is>
      </c>
      <c r="F130" s="375" t="inlineStr">
        <is>
          <t>лёд</t>
        </is>
      </c>
      <c r="G130" s="318" t="inlineStr">
        <is>
          <t>Метод</t>
        </is>
      </c>
      <c r="I130" s="381" t="n"/>
      <c r="J130" s="337" t="inlineStr">
        <is>
          <t>сироп лаванда</t>
        </is>
      </c>
      <c r="K130" s="337" t="inlineStr">
        <is>
          <t>250 грм</t>
        </is>
      </c>
      <c r="L130" s="381" t="inlineStr">
        <is>
          <t>Довести до кипения</t>
        </is>
      </c>
      <c r="M130" s="381" t="n"/>
    </row>
    <row r="131">
      <c r="A131" s="379" t="inlineStr">
        <is>
          <t>Los Santos Mojito</t>
        </is>
      </c>
      <c r="B131" s="380" t="inlineStr">
        <is>
          <t>светлый ром</t>
        </is>
      </c>
      <c r="C131" s="380" t="n">
        <v>60</v>
      </c>
      <c r="D131" s="380" t="inlineStr">
        <is>
          <t>мята/лайм</t>
        </is>
      </c>
      <c r="E131" s="380" t="inlineStr">
        <is>
          <t>хайбол</t>
        </is>
      </c>
      <c r="F131" s="380" t="inlineStr">
        <is>
          <t>фрапе</t>
        </is>
      </c>
      <c r="G131" s="380" t="inlineStr">
        <is>
          <t>свизл</t>
        </is>
      </c>
      <c r="I131" s="381" t="n"/>
      <c r="J131" s="337" t="inlineStr">
        <is>
          <t>вода</t>
        </is>
      </c>
      <c r="K131" s="337" t="inlineStr">
        <is>
          <t>600 грм</t>
        </is>
      </c>
      <c r="L131" s="381" t="inlineStr">
        <is>
          <t>Дать остыть, добавить цедру лайма</t>
        </is>
      </c>
      <c r="M131" s="381" t="n"/>
    </row>
    <row r="132">
      <c r="A132" s="379" t="n"/>
      <c r="B132" s="380" t="inlineStr">
        <is>
          <t>мята</t>
        </is>
      </c>
      <c r="C132" s="380" t="inlineStr">
        <is>
          <t>10 грм</t>
        </is>
      </c>
      <c r="D132" s="380" t="n"/>
      <c r="E132" s="380" t="n"/>
      <c r="F132" s="380" t="n"/>
      <c r="G132" s="380" t="n"/>
      <c r="I132" s="381" t="n"/>
      <c r="J132" s="337" t="inlineStr">
        <is>
          <t>сахар</t>
        </is>
      </c>
      <c r="K132" s="337" t="inlineStr">
        <is>
          <t>600 грм</t>
        </is>
      </c>
      <c r="L132" s="381" t="inlineStr">
        <is>
          <t>Процедить</t>
        </is>
      </c>
      <c r="M132" s="381" t="n"/>
    </row>
    <row r="133">
      <c r="A133" s="379" t="n"/>
      <c r="B133" s="380" t="inlineStr">
        <is>
          <t>лайм</t>
        </is>
      </c>
      <c r="C133" s="380" t="inlineStr">
        <is>
          <t>20 грм</t>
        </is>
      </c>
      <c r="D133" s="380" t="n"/>
      <c r="E133" s="380" t="n"/>
      <c r="F133" s="380" t="n"/>
      <c r="G133" s="380" t="n"/>
      <c r="I133" s="381" t="n"/>
      <c r="J133" s="337" t="inlineStr">
        <is>
          <t>молочная кислота</t>
        </is>
      </c>
      <c r="K133" s="337" t="inlineStr">
        <is>
          <t>50 мл</t>
        </is>
      </c>
      <c r="L133" s="381" t="inlineStr">
        <is>
          <t xml:space="preserve">Добавить молочную кислоту </t>
        </is>
      </c>
      <c r="M133" s="381" t="n"/>
    </row>
    <row r="134">
      <c r="A134" s="379" t="n"/>
      <c r="B134" s="380" t="inlineStr">
        <is>
          <t>сироп сахар</t>
        </is>
      </c>
      <c r="C134" s="380" t="n">
        <v>30</v>
      </c>
      <c r="D134" s="380" t="n"/>
      <c r="E134" s="380" t="n"/>
      <c r="F134" s="380" t="n"/>
      <c r="G134" s="380" t="n"/>
      <c r="I134" s="44" t="n"/>
      <c r="J134" s="337" t="inlineStr">
        <is>
          <t>цедра лайма</t>
        </is>
      </c>
      <c r="K134" s="337" t="inlineStr">
        <is>
          <t>2 лайма</t>
        </is>
      </c>
      <c r="L134" s="44" t="n"/>
      <c r="M134" s="44" t="n"/>
    </row>
    <row r="135">
      <c r="A135" s="379" t="n"/>
      <c r="B135" s="380" t="inlineStr">
        <is>
          <t>фреш лимона</t>
        </is>
      </c>
      <c r="C135" s="380" t="n">
        <v>30</v>
      </c>
      <c r="D135" s="380" t="n"/>
      <c r="E135" s="380" t="n"/>
      <c r="F135" s="380" t="n"/>
      <c r="G135" s="380" t="n"/>
    </row>
    <row r="136">
      <c r="A136" s="379" t="n"/>
      <c r="B136" s="380" t="inlineStr">
        <is>
          <t>содовая</t>
        </is>
      </c>
      <c r="C136" s="380" t="inlineStr">
        <is>
          <t>топ ( 80 )</t>
        </is>
      </c>
      <c r="D136" s="380" t="n"/>
      <c r="E136" s="380" t="n"/>
      <c r="F136" s="380" t="n"/>
      <c r="G136" s="380" t="n"/>
      <c r="I136" s="387" t="inlineStr">
        <is>
          <t>Название</t>
        </is>
      </c>
      <c r="J136" s="387" t="inlineStr">
        <is>
          <t>Ингридиенты</t>
        </is>
      </c>
      <c r="K136" s="387" t="inlineStr">
        <is>
          <t>Кол-во</t>
        </is>
      </c>
      <c r="L136" s="387" t="inlineStr">
        <is>
          <t>Способ</t>
        </is>
      </c>
      <c r="M136" s="387" t="inlineStr">
        <is>
          <t>Выход</t>
        </is>
      </c>
    </row>
    <row r="137">
      <c r="A137" s="375" t="inlineStr">
        <is>
          <t>Название</t>
        </is>
      </c>
      <c r="B137" s="375" t="inlineStr">
        <is>
          <t>Ингредиент</t>
        </is>
      </c>
      <c r="C137" s="375" t="inlineStr">
        <is>
          <t>Кол-во</t>
        </is>
      </c>
      <c r="D137" s="375" t="inlineStr">
        <is>
          <t>Гарнир</t>
        </is>
      </c>
      <c r="E137" s="375" t="inlineStr">
        <is>
          <t>Посуда</t>
        </is>
      </c>
      <c r="F137" s="375" t="inlineStr">
        <is>
          <t>лёд</t>
        </is>
      </c>
      <c r="G137" s="318" t="inlineStr">
        <is>
          <t>Метод</t>
        </is>
      </c>
      <c r="I137" s="381" t="inlineStr">
        <is>
          <t>Кордиал к. апельсин</t>
        </is>
      </c>
      <c r="J137" s="337" t="inlineStr">
        <is>
          <t>Сок Santal красный апельсин</t>
        </is>
      </c>
      <c r="K137" s="337" t="inlineStr">
        <is>
          <t>1 л</t>
        </is>
      </c>
      <c r="L137" s="381" t="inlineStr">
        <is>
          <t>В сотейнике смешать все ингридиенты, кроме м. кислотыи цедры</t>
        </is>
      </c>
      <c r="M137" s="337" t="inlineStr">
        <is>
          <t>1,5 л</t>
        </is>
      </c>
    </row>
    <row r="138">
      <c r="A138" s="379" t="inlineStr">
        <is>
          <t>Los Santos Mojito б/а</t>
        </is>
      </c>
      <c r="B138" s="380" t="inlineStr">
        <is>
          <t>мята</t>
        </is>
      </c>
      <c r="C138" s="380" t="inlineStr">
        <is>
          <t>10 грм</t>
        </is>
      </c>
      <c r="D138" s="380" t="inlineStr">
        <is>
          <t>мята/лайм</t>
        </is>
      </c>
      <c r="E138" s="380" t="inlineStr">
        <is>
          <t>хайбол</t>
        </is>
      </c>
      <c r="F138" s="380" t="inlineStr">
        <is>
          <t>фрапе</t>
        </is>
      </c>
      <c r="G138" s="380" t="inlineStr">
        <is>
          <t>свизл</t>
        </is>
      </c>
      <c r="I138" s="381" t="n"/>
      <c r="J138" s="337" t="inlineStr">
        <is>
          <t>вода</t>
        </is>
      </c>
      <c r="K138" s="337" t="inlineStr">
        <is>
          <t>400 мл</t>
        </is>
      </c>
      <c r="L138" s="381" t="inlineStr">
        <is>
          <t>Довести до кипения</t>
        </is>
      </c>
      <c r="M138" s="381" t="n"/>
    </row>
    <row r="139">
      <c r="A139" s="379" t="n"/>
      <c r="B139" s="380" t="inlineStr">
        <is>
          <t>лайм</t>
        </is>
      </c>
      <c r="C139" s="380" t="inlineStr">
        <is>
          <t>20 грм</t>
        </is>
      </c>
      <c r="D139" s="380" t="n"/>
      <c r="E139" s="380" t="n"/>
      <c r="F139" s="380" t="n"/>
      <c r="G139" s="380" t="n"/>
      <c r="I139" s="381" t="n"/>
      <c r="J139" s="337" t="inlineStr">
        <is>
          <t>сахар</t>
        </is>
      </c>
      <c r="K139" s="337" t="inlineStr">
        <is>
          <t>400 грм</t>
        </is>
      </c>
      <c r="L139" s="381" t="inlineStr">
        <is>
          <t>Дать остыть, добавить цедру</t>
        </is>
      </c>
      <c r="M139" s="381" t="n"/>
    </row>
    <row r="140">
      <c r="A140" s="379" t="n"/>
      <c r="B140" s="380" t="inlineStr">
        <is>
          <t>сироп сахар</t>
        </is>
      </c>
      <c r="C140" s="380" t="n">
        <v>30</v>
      </c>
      <c r="D140" s="380" t="n"/>
      <c r="E140" s="380" t="n"/>
      <c r="F140" s="380" t="n"/>
      <c r="G140" s="380" t="n"/>
      <c r="I140" s="381" t="n"/>
      <c r="J140" s="337" t="inlineStr">
        <is>
          <t>молочная кислота</t>
        </is>
      </c>
      <c r="K140" s="337" t="inlineStr">
        <is>
          <t>50 мл</t>
        </is>
      </c>
      <c r="L140" s="381" t="inlineStr">
        <is>
          <t>Процедить</t>
        </is>
      </c>
      <c r="M140" s="381" t="n"/>
    </row>
    <row r="141">
      <c r="A141" s="379" t="n"/>
      <c r="B141" s="380" t="inlineStr">
        <is>
          <t>фреш лимона</t>
        </is>
      </c>
      <c r="C141" s="380" t="n">
        <v>30</v>
      </c>
      <c r="D141" s="380" t="n"/>
      <c r="E141" s="380" t="n"/>
      <c r="F141" s="380" t="n"/>
      <c r="G141" s="380" t="n"/>
      <c r="I141" s="381" t="n"/>
      <c r="J141" s="337" t="inlineStr">
        <is>
          <t>цедра апельсина</t>
        </is>
      </c>
      <c r="K141" s="381" t="n"/>
      <c r="L141" s="381" t="inlineStr">
        <is>
          <t xml:space="preserve">Добавить молочную кислоту </t>
        </is>
      </c>
      <c r="M141" s="381" t="n"/>
    </row>
    <row r="142">
      <c r="A142" s="379" t="n"/>
      <c r="B142" s="380" t="inlineStr">
        <is>
          <t>содовая</t>
        </is>
      </c>
      <c r="C142" s="380" t="inlineStr">
        <is>
          <t>топ ( 80 )</t>
        </is>
      </c>
      <c r="D142" s="380" t="n"/>
      <c r="E142" s="380" t="n"/>
      <c r="F142" s="380" t="n"/>
      <c r="G142" s="380" t="n"/>
    </row>
    <row r="143">
      <c r="A143" s="375" t="inlineStr">
        <is>
          <t>Название</t>
        </is>
      </c>
      <c r="B143" s="375" t="inlineStr">
        <is>
          <t>Ингредиент</t>
        </is>
      </c>
      <c r="C143" s="375" t="inlineStr">
        <is>
          <t>Кол-во</t>
        </is>
      </c>
      <c r="D143" s="375" t="inlineStr">
        <is>
          <t>Гарнир</t>
        </is>
      </c>
      <c r="E143" s="375" t="inlineStr">
        <is>
          <t>Посуда</t>
        </is>
      </c>
      <c r="F143" s="375" t="inlineStr">
        <is>
          <t>лёд</t>
        </is>
      </c>
      <c r="G143" s="318" t="inlineStr">
        <is>
          <t>Метод</t>
        </is>
      </c>
    </row>
    <row r="144">
      <c r="A144" s="379" t="inlineStr">
        <is>
          <t>Rockstar</t>
        </is>
      </c>
      <c r="B144" s="380" t="inlineStr">
        <is>
          <t>джин</t>
        </is>
      </c>
      <c r="C144" s="380" t="n">
        <v>30</v>
      </c>
      <c r="D144" s="380" t="inlineStr">
        <is>
          <t>костер</t>
        </is>
      </c>
      <c r="E144" s="380" t="inlineStr">
        <is>
          <t>рокс</t>
        </is>
      </c>
      <c r="F144" s="380" t="inlineStr">
        <is>
          <t>глыба 5х6</t>
        </is>
      </c>
      <c r="G144" s="380" t="inlineStr">
        <is>
          <t>стир</t>
        </is>
      </c>
    </row>
    <row r="145">
      <c r="A145" s="379" t="n"/>
      <c r="B145" s="380" t="inlineStr">
        <is>
          <t>кампари</t>
        </is>
      </c>
      <c r="C145" s="380" t="n">
        <v>30</v>
      </c>
      <c r="D145" s="380" t="n"/>
      <c r="E145" s="380" t="n"/>
      <c r="F145" s="380" t="n"/>
      <c r="G145" s="380" t="n"/>
    </row>
    <row r="146">
      <c r="A146" s="379" t="n"/>
      <c r="B146" s="380" t="inlineStr">
        <is>
          <t>сладкий вермут</t>
        </is>
      </c>
      <c r="C146" s="380" t="n">
        <v>30</v>
      </c>
      <c r="D146" s="380" t="n"/>
      <c r="E146" s="380" t="n"/>
      <c r="F146" s="380" t="n"/>
      <c r="G146" s="380" t="n"/>
    </row>
    <row r="147">
      <c r="A147" s="379" t="n"/>
      <c r="B147" s="380" t="inlineStr">
        <is>
          <t>ликер ежевика</t>
        </is>
      </c>
      <c r="C147" s="380" t="n">
        <v>10</v>
      </c>
      <c r="D147" s="380" t="n"/>
      <c r="E147" s="380" t="n"/>
      <c r="F147" s="380" t="n"/>
      <c r="G147" s="380" t="n"/>
    </row>
    <row r="148">
      <c r="A148" s="375" t="inlineStr">
        <is>
          <t>Название</t>
        </is>
      </c>
      <c r="B148" s="375" t="inlineStr">
        <is>
          <t>Ингредиент</t>
        </is>
      </c>
      <c r="C148" s="375" t="inlineStr">
        <is>
          <t>Кол-во</t>
        </is>
      </c>
      <c r="D148" s="375" t="inlineStr">
        <is>
          <t>Гарнир</t>
        </is>
      </c>
      <c r="E148" s="375" t="inlineStr">
        <is>
          <t>Посуда</t>
        </is>
      </c>
      <c r="F148" s="375" t="inlineStr">
        <is>
          <t>лёд</t>
        </is>
      </c>
      <c r="G148" s="318" t="inlineStr">
        <is>
          <t>Метод</t>
        </is>
      </c>
    </row>
    <row r="149">
      <c r="A149" s="379" t="inlineStr">
        <is>
          <t>Rockstar б/а</t>
        </is>
      </c>
      <c r="B149" s="380" t="inlineStr">
        <is>
          <t>б/а вермут</t>
        </is>
      </c>
      <c r="C149" s="380" t="n">
        <v>40</v>
      </c>
      <c r="D149" s="380" t="inlineStr">
        <is>
          <t>костер</t>
        </is>
      </c>
      <c r="E149" s="380" t="inlineStr">
        <is>
          <t>рокс</t>
        </is>
      </c>
      <c r="F149" s="380" t="inlineStr">
        <is>
          <t>глыба 5х6</t>
        </is>
      </c>
      <c r="G149" s="380" t="inlineStr">
        <is>
          <t>стир</t>
        </is>
      </c>
    </row>
    <row r="150">
      <c r="A150" s="379" t="n"/>
      <c r="B150" s="380" t="inlineStr">
        <is>
          <t>б/а биттер</t>
        </is>
      </c>
      <c r="C150" s="380" t="n">
        <v>40</v>
      </c>
      <c r="D150" s="380" t="n"/>
      <c r="E150" s="380" t="n"/>
      <c r="F150" s="380" t="n"/>
      <c r="G150" s="380" t="n"/>
    </row>
    <row r="151">
      <c r="A151" s="379" t="n"/>
      <c r="B151" s="380" t="inlineStr">
        <is>
          <t>сироп ежевика</t>
        </is>
      </c>
      <c r="C151" s="380" t="n">
        <v>10</v>
      </c>
      <c r="D151" s="380" t="n"/>
      <c r="E151" s="380" t="n"/>
      <c r="F151" s="380" t="n"/>
      <c r="G151" s="380" t="n"/>
    </row>
    <row r="152">
      <c r="A152" s="375" t="inlineStr">
        <is>
          <t>Название</t>
        </is>
      </c>
      <c r="B152" s="375" t="inlineStr">
        <is>
          <t>Ингредиент</t>
        </is>
      </c>
      <c r="C152" s="375" t="inlineStr">
        <is>
          <t>Кол-во</t>
        </is>
      </c>
      <c r="D152" s="375" t="inlineStr">
        <is>
          <t>Гарнир</t>
        </is>
      </c>
      <c r="E152" s="375" t="inlineStr">
        <is>
          <t>Посуда</t>
        </is>
      </c>
      <c r="F152" s="375" t="inlineStr">
        <is>
          <t>лёд</t>
        </is>
      </c>
      <c r="G152" s="318" t="inlineStr">
        <is>
          <t>Метод</t>
        </is>
      </c>
    </row>
    <row r="153">
      <c r="A153" s="379" t="inlineStr">
        <is>
          <t>Liberty city night-wave</t>
        </is>
      </c>
      <c r="B153" s="380" t="inlineStr">
        <is>
          <t>текила</t>
        </is>
      </c>
      <c r="C153" s="380" t="n">
        <v>40</v>
      </c>
      <c r="D153" s="380" t="inlineStr">
        <is>
          <t>костер</t>
        </is>
      </c>
      <c r="E153" s="380" t="inlineStr">
        <is>
          <t>хайбол</t>
        </is>
      </c>
      <c r="F153" s="380" t="inlineStr">
        <is>
          <t>глыба 4х12</t>
        </is>
      </c>
      <c r="G153" s="380" t="inlineStr">
        <is>
          <t>стир</t>
        </is>
      </c>
    </row>
    <row r="154">
      <c r="A154" s="379" t="n"/>
      <c r="B154" s="380" t="inlineStr">
        <is>
          <t>апельсиновый биттер</t>
        </is>
      </c>
      <c r="C154" s="380" t="inlineStr">
        <is>
          <t>2-3 дроп</t>
        </is>
      </c>
      <c r="D154" s="380" t="n"/>
      <c r="E154" s="380" t="n"/>
      <c r="F154" s="380" t="n"/>
      <c r="G154" s="380" t="n"/>
    </row>
    <row r="155">
      <c r="A155" s="379" t="n"/>
      <c r="B155" s="380" t="inlineStr">
        <is>
          <t>лавандовый кордиал</t>
        </is>
      </c>
      <c r="C155" s="380" t="n">
        <v>40</v>
      </c>
      <c r="D155" s="380" t="n"/>
      <c r="E155" s="380" t="n"/>
      <c r="F155" s="380" t="n"/>
      <c r="G155" s="380" t="n"/>
    </row>
    <row r="156">
      <c r="A156" s="379" t="n"/>
      <c r="B156" s="380" t="inlineStr">
        <is>
          <t>тоник</t>
        </is>
      </c>
      <c r="C156" s="380" t="inlineStr">
        <is>
          <t>топ ( 60 )</t>
        </is>
      </c>
      <c r="D156" s="380" t="n"/>
      <c r="E156" s="380" t="n"/>
      <c r="F156" s="380" t="n"/>
      <c r="G156" s="380" t="n"/>
    </row>
    <row r="157">
      <c r="A157" s="375" t="inlineStr">
        <is>
          <t>Название</t>
        </is>
      </c>
      <c r="B157" s="375" t="inlineStr">
        <is>
          <t>Ингредиент</t>
        </is>
      </c>
      <c r="C157" s="375" t="inlineStr">
        <is>
          <t>Кол-во</t>
        </is>
      </c>
      <c r="D157" s="375" t="inlineStr">
        <is>
          <t>Гарнир</t>
        </is>
      </c>
      <c r="E157" s="375" t="inlineStr">
        <is>
          <t>Посуда</t>
        </is>
      </c>
      <c r="F157" s="375" t="inlineStr">
        <is>
          <t>лёд</t>
        </is>
      </c>
      <c r="G157" s="318" t="inlineStr">
        <is>
          <t>Метод</t>
        </is>
      </c>
    </row>
    <row r="158">
      <c r="A158" s="379" t="inlineStr">
        <is>
          <t>Liberty city night-wave б/а</t>
        </is>
      </c>
      <c r="B158" s="380" t="inlineStr">
        <is>
          <t>лавандовый кордиал</t>
        </is>
      </c>
      <c r="C158" s="380" t="n">
        <v>50</v>
      </c>
      <c r="D158" s="380" t="inlineStr">
        <is>
          <t>костер</t>
        </is>
      </c>
      <c r="E158" s="380" t="inlineStr">
        <is>
          <t>хайбол</t>
        </is>
      </c>
      <c r="F158" s="380" t="inlineStr">
        <is>
          <t>глыба 4х12</t>
        </is>
      </c>
      <c r="G158" s="380" t="inlineStr">
        <is>
          <t>стир</t>
        </is>
      </c>
    </row>
    <row r="159">
      <c r="A159" s="379" t="n"/>
      <c r="B159" s="380" t="inlineStr">
        <is>
          <t>тоник</t>
        </is>
      </c>
      <c r="C159" s="380" t="inlineStr">
        <is>
          <t>топ ( 100 )</t>
        </is>
      </c>
      <c r="D159" s="380" t="n"/>
      <c r="E159" s="380" t="n"/>
      <c r="F159" s="380" t="n"/>
      <c r="G159" s="380" t="n"/>
    </row>
    <row r="160">
      <c r="A160" s="375" t="inlineStr">
        <is>
          <t>Название</t>
        </is>
      </c>
      <c r="B160" s="375" t="inlineStr">
        <is>
          <t>Ингредиент</t>
        </is>
      </c>
      <c r="C160" s="375" t="inlineStr">
        <is>
          <t>Кол-во</t>
        </is>
      </c>
      <c r="D160" s="375" t="inlineStr">
        <is>
          <t>Гарнир</t>
        </is>
      </c>
      <c r="E160" s="375" t="inlineStr">
        <is>
          <t>Посуда</t>
        </is>
      </c>
      <c r="F160" s="375" t="inlineStr">
        <is>
          <t>лёд</t>
        </is>
      </c>
      <c r="G160" s="318" t="inlineStr">
        <is>
          <t>Метод</t>
        </is>
      </c>
    </row>
    <row r="161">
      <c r="A161" s="379" t="inlineStr">
        <is>
          <t>Chinatown Sling</t>
        </is>
      </c>
      <c r="B161" s="380" t="inlineStr">
        <is>
          <t>джин</t>
        </is>
      </c>
      <c r="C161" s="380" t="n">
        <v>40</v>
      </c>
      <c r="D161" s="380" t="inlineStr">
        <is>
          <t>костер</t>
        </is>
      </c>
      <c r="E161" s="380" t="inlineStr">
        <is>
          <t>хайбол</t>
        </is>
      </c>
      <c r="F161" s="380" t="inlineStr">
        <is>
          <t>глыба 4х12</t>
        </is>
      </c>
      <c r="G161" s="380" t="inlineStr">
        <is>
          <t>стир</t>
        </is>
      </c>
    </row>
    <row r="162">
      <c r="A162" s="379" t="n"/>
      <c r="B162" s="380" t="inlineStr">
        <is>
          <t>ананасовый сок</t>
        </is>
      </c>
      <c r="C162" s="380" t="n">
        <v>60</v>
      </c>
      <c r="D162" s="380" t="n"/>
      <c r="E162" s="380" t="n"/>
      <c r="F162" s="380" t="n"/>
      <c r="G162" s="380" t="n"/>
    </row>
    <row r="163">
      <c r="A163" s="379" t="n"/>
      <c r="B163" s="380" t="inlineStr">
        <is>
          <t>ликер вишня</t>
        </is>
      </c>
      <c r="C163" s="380" t="n">
        <v>15</v>
      </c>
      <c r="D163" s="380" t="n"/>
      <c r="E163" s="380" t="n"/>
      <c r="F163" s="380" t="n"/>
      <c r="G163" s="380" t="n"/>
    </row>
    <row r="164">
      <c r="A164" s="379" t="n"/>
      <c r="B164" s="380" t="inlineStr">
        <is>
          <t>куантро</t>
        </is>
      </c>
      <c r="C164" s="380" t="n">
        <v>15</v>
      </c>
      <c r="D164" s="380" t="n"/>
      <c r="E164" s="380" t="n"/>
      <c r="F164" s="380" t="n"/>
      <c r="G164" s="380" t="n"/>
    </row>
    <row r="165">
      <c r="A165" s="379" t="n"/>
      <c r="B165" s="380" t="inlineStr">
        <is>
          <t>кордиал красный апельсин</t>
        </is>
      </c>
      <c r="C165" s="380" t="n">
        <v>20</v>
      </c>
      <c r="D165" s="380" t="n"/>
      <c r="E165" s="380" t="n"/>
      <c r="F165" s="380" t="n"/>
      <c r="G165" s="380" t="n"/>
    </row>
    <row r="166">
      <c r="A166" s="379" t="n"/>
      <c r="B166" s="380" t="inlineStr">
        <is>
          <t>фреш лимона</t>
        </is>
      </c>
      <c r="C166" s="380" t="n">
        <v>20</v>
      </c>
      <c r="D166" s="380" t="n"/>
      <c r="E166" s="380" t="n"/>
      <c r="F166" s="380" t="n"/>
      <c r="G166" s="380" t="n"/>
    </row>
    <row r="167">
      <c r="A167" s="379" t="n"/>
      <c r="B167" s="380" t="inlineStr">
        <is>
          <t>сироп банан</t>
        </is>
      </c>
      <c r="C167" s="380" t="n">
        <v>10</v>
      </c>
      <c r="D167" s="380" t="n"/>
      <c r="E167" s="380" t="n"/>
      <c r="F167" s="380" t="n"/>
      <c r="G167" s="380" t="n"/>
    </row>
    <row r="168">
      <c r="A168" s="379" t="n"/>
      <c r="B168" s="380" t="inlineStr">
        <is>
          <t>соус тирияки</t>
        </is>
      </c>
      <c r="C168" s="382" t="n">
        <v>46208</v>
      </c>
      <c r="D168" s="380" t="n"/>
      <c r="E168" s="380" t="n"/>
      <c r="F168" s="380" t="n"/>
      <c r="G168" s="380" t="n"/>
    </row>
    <row r="169">
      <c r="A169" s="375" t="inlineStr">
        <is>
          <t>Название</t>
        </is>
      </c>
      <c r="B169" s="375" t="inlineStr">
        <is>
          <t>Ингредиент</t>
        </is>
      </c>
      <c r="C169" s="375" t="inlineStr">
        <is>
          <t>Кол-во</t>
        </is>
      </c>
      <c r="D169" s="375" t="inlineStr">
        <is>
          <t>Гарнир</t>
        </is>
      </c>
      <c r="E169" s="375" t="inlineStr">
        <is>
          <t>Посуда</t>
        </is>
      </c>
      <c r="F169" s="375" t="inlineStr">
        <is>
          <t>лёд</t>
        </is>
      </c>
      <c r="G169" s="318" t="inlineStr">
        <is>
          <t>Метод</t>
        </is>
      </c>
    </row>
    <row r="170">
      <c r="A170" s="379" t="inlineStr">
        <is>
          <t>Chinatown Sling б/а</t>
        </is>
      </c>
      <c r="B170" s="380" t="inlineStr">
        <is>
          <t>ананасовый сок</t>
        </is>
      </c>
      <c r="C170" s="380" t="n">
        <v>80</v>
      </c>
      <c r="D170" s="380" t="inlineStr">
        <is>
          <t>костер</t>
        </is>
      </c>
      <c r="E170" s="380" t="inlineStr">
        <is>
          <t>хайбол</t>
        </is>
      </c>
      <c r="F170" s="380" t="inlineStr">
        <is>
          <t>глыба 4х12</t>
        </is>
      </c>
      <c r="G170" s="380" t="inlineStr">
        <is>
          <t>стир</t>
        </is>
      </c>
    </row>
    <row r="171">
      <c r="A171" s="379" t="n"/>
      <c r="B171" s="380" t="inlineStr">
        <is>
          <t>сироп вишня</t>
        </is>
      </c>
      <c r="C171" s="380" t="n">
        <v>15</v>
      </c>
      <c r="D171" s="380" t="n"/>
      <c r="E171" s="380" t="n"/>
      <c r="F171" s="380" t="n"/>
      <c r="G171" s="380" t="n"/>
    </row>
    <row r="172">
      <c r="A172" s="379" t="n"/>
      <c r="B172" s="380" t="inlineStr">
        <is>
          <t>б/а апельсиновй ликер</t>
        </is>
      </c>
      <c r="C172" s="380" t="n">
        <v>15</v>
      </c>
      <c r="D172" s="380" t="n"/>
      <c r="E172" s="380" t="n"/>
      <c r="F172" s="380" t="n"/>
      <c r="G172" s="380" t="n"/>
    </row>
    <row r="173">
      <c r="A173" s="379" t="n"/>
      <c r="B173" s="380" t="inlineStr">
        <is>
          <t>кордиал красный апельсин</t>
        </is>
      </c>
      <c r="C173" s="380" t="n">
        <v>20</v>
      </c>
      <c r="D173" s="380" t="n"/>
      <c r="E173" s="380" t="n"/>
      <c r="F173" s="380" t="n"/>
      <c r="G173" s="380" t="n"/>
    </row>
    <row r="174">
      <c r="A174" s="379" t="n"/>
      <c r="B174" s="380" t="inlineStr">
        <is>
          <t>фреш лимона</t>
        </is>
      </c>
      <c r="C174" s="380" t="n">
        <v>20</v>
      </c>
      <c r="D174" s="380" t="n"/>
      <c r="E174" s="380" t="n"/>
      <c r="F174" s="380" t="n"/>
      <c r="G174" s="380" t="n"/>
    </row>
    <row r="175">
      <c r="A175" s="379" t="n"/>
      <c r="B175" s="380" t="inlineStr">
        <is>
          <t>сироп банан</t>
        </is>
      </c>
      <c r="C175" s="380" t="n">
        <v>10</v>
      </c>
      <c r="D175" s="380" t="n"/>
      <c r="E175" s="380" t="n"/>
      <c r="F175" s="380" t="n"/>
      <c r="G175" s="380" t="n"/>
    </row>
    <row r="176">
      <c r="A176" s="379" t="n"/>
      <c r="B176" s="380" t="inlineStr">
        <is>
          <t>соус тирияки</t>
        </is>
      </c>
      <c r="C176" s="382" t="n">
        <v>46208</v>
      </c>
      <c r="D176" s="380" t="n"/>
      <c r="E176" s="380" t="n"/>
      <c r="F176" s="380" t="n"/>
      <c r="G176" s="38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F49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552" min="1" max="1"/>
    <col width="19" customWidth="1" style="552" min="2" max="2"/>
    <col width="29.71" customWidth="1" style="552" min="5" max="5"/>
  </cols>
  <sheetData>
    <row r="1">
      <c r="A1" s="318" t="inlineStr">
        <is>
          <t>Название</t>
        </is>
      </c>
      <c r="B1" s="318" t="inlineStr">
        <is>
          <t>Ингридиенты</t>
        </is>
      </c>
      <c r="C1" s="384" t="inlineStr">
        <is>
          <t xml:space="preserve">                                          Кол-во</t>
        </is>
      </c>
      <c r="D1" s="385" t="n"/>
      <c r="E1" s="318" t="inlineStr">
        <is>
          <t>Гарнир</t>
        </is>
      </c>
      <c r="F1" s="318" t="inlineStr">
        <is>
          <t>Метод</t>
        </is>
      </c>
    </row>
    <row r="2">
      <c r="A2" s="386" t="n"/>
      <c r="B2" s="386" t="n"/>
      <c r="C2" s="387" t="inlineStr">
        <is>
          <t xml:space="preserve">0,4 л </t>
        </is>
      </c>
      <c r="D2" s="387" t="inlineStr">
        <is>
          <t>1 л</t>
        </is>
      </c>
      <c r="E2" s="386" t="n"/>
      <c r="F2" s="386" t="n"/>
    </row>
    <row r="3">
      <c r="A3" s="58" t="inlineStr">
        <is>
          <t>Stamina</t>
        </is>
      </c>
      <c r="B3" s="58" t="inlineStr">
        <is>
          <t>Пюре маракуйя</t>
        </is>
      </c>
      <c r="C3" s="366" t="inlineStr">
        <is>
          <t>30 мл</t>
        </is>
      </c>
      <c r="D3" s="366" t="inlineStr">
        <is>
          <t>120 мл</t>
        </is>
      </c>
      <c r="E3" s="366" t="inlineStr">
        <is>
          <t>Мята</t>
        </is>
      </c>
      <c r="F3" s="366" t="inlineStr">
        <is>
          <t>Шейк</t>
        </is>
      </c>
    </row>
    <row r="4">
      <c r="A4" s="58" t="n"/>
      <c r="B4" s="58" t="inlineStr">
        <is>
          <t>Пюре малина</t>
        </is>
      </c>
      <c r="C4" s="366" t="inlineStr">
        <is>
          <t>60 мл</t>
        </is>
      </c>
      <c r="D4" s="366" t="inlineStr">
        <is>
          <t>160 мл</t>
        </is>
      </c>
      <c r="E4" s="366" t="inlineStr">
        <is>
          <t>Маракуйя свежая</t>
        </is>
      </c>
      <c r="F4" s="366" t="n"/>
    </row>
    <row r="5">
      <c r="A5" s="524" t="n"/>
      <c r="B5" s="58" t="inlineStr">
        <is>
          <t>Сироп маракуйя</t>
        </is>
      </c>
      <c r="C5" s="366" t="inlineStr">
        <is>
          <t>15 мл</t>
        </is>
      </c>
      <c r="D5" s="366" t="inlineStr">
        <is>
          <t>60 мл</t>
        </is>
      </c>
      <c r="E5" s="388" t="n"/>
      <c r="F5" s="388" t="n"/>
    </row>
    <row r="6">
      <c r="A6" s="524" t="n"/>
      <c r="B6" s="58" t="inlineStr">
        <is>
          <t>Сироп сахар</t>
        </is>
      </c>
      <c r="C6" s="366" t="inlineStr">
        <is>
          <t>20 мл</t>
        </is>
      </c>
      <c r="D6" s="366" t="inlineStr">
        <is>
          <t>60 мл</t>
        </is>
      </c>
      <c r="E6" s="388" t="n"/>
      <c r="F6" s="388" t="n"/>
    </row>
    <row r="7">
      <c r="A7" s="524" t="n"/>
      <c r="B7" s="58" t="inlineStr">
        <is>
          <t>Фреш лимон</t>
        </is>
      </c>
      <c r="C7" s="366" t="inlineStr">
        <is>
          <t>20 мл</t>
        </is>
      </c>
      <c r="D7" s="366" t="inlineStr">
        <is>
          <t>60 мл</t>
        </is>
      </c>
      <c r="E7" s="388" t="n"/>
      <c r="F7" s="388" t="n"/>
    </row>
    <row r="8">
      <c r="A8" s="524" t="n"/>
      <c r="B8" s="58" t="inlineStr">
        <is>
          <t>Содовая ( Ledenev )</t>
        </is>
      </c>
      <c r="C8" s="366" t="inlineStr">
        <is>
          <t>топ ( 100 мл )</t>
        </is>
      </c>
      <c r="D8" s="366" t="inlineStr">
        <is>
          <t>топ ( 550 мл )</t>
        </is>
      </c>
      <c r="E8" s="388" t="n"/>
      <c r="F8" s="388" t="n"/>
    </row>
    <row r="9">
      <c r="A9" s="318" t="inlineStr">
        <is>
          <t>Название</t>
        </is>
      </c>
      <c r="B9" s="318" t="inlineStr">
        <is>
          <t>Ингридиенты</t>
        </is>
      </c>
      <c r="C9" s="384" t="inlineStr">
        <is>
          <t xml:space="preserve">                                         Кол-во</t>
        </is>
      </c>
      <c r="D9" s="385" t="n"/>
      <c r="E9" s="318" t="inlineStr">
        <is>
          <t>Гарнир</t>
        </is>
      </c>
      <c r="F9" s="318" t="inlineStr">
        <is>
          <t>Метод</t>
        </is>
      </c>
    </row>
    <row r="10">
      <c r="A10" s="58" t="inlineStr">
        <is>
          <t>Strength</t>
        </is>
      </c>
      <c r="B10" s="58" t="inlineStr">
        <is>
          <t>Пюре каламанси</t>
        </is>
      </c>
      <c r="C10" s="366" t="inlineStr">
        <is>
          <t>20 мл</t>
        </is>
      </c>
      <c r="D10" s="366" t="inlineStr">
        <is>
          <t>60 мл</t>
        </is>
      </c>
      <c r="E10" s="366" t="inlineStr">
        <is>
          <t xml:space="preserve">Базилик ( свежий ) </t>
        </is>
      </c>
      <c r="F10" s="366" t="inlineStr">
        <is>
          <t>Шейк вместе с</t>
        </is>
      </c>
    </row>
    <row r="11">
      <c r="A11" s="58" t="n"/>
      <c r="B11" s="58" t="inlineStr">
        <is>
          <t>Пюре ананас</t>
        </is>
      </c>
      <c r="C11" s="366" t="inlineStr">
        <is>
          <t>60 мл</t>
        </is>
      </c>
      <c r="D11" s="366" t="inlineStr">
        <is>
          <t>200 мл</t>
        </is>
      </c>
      <c r="E11" s="366" t="n"/>
      <c r="F11" s="366" t="inlineStr">
        <is>
          <t>базиликом</t>
        </is>
      </c>
    </row>
    <row r="12">
      <c r="A12" s="524" t="n"/>
      <c r="B12" s="58" t="inlineStr">
        <is>
          <t>Фреш лимон</t>
        </is>
      </c>
      <c r="C12" s="366" t="inlineStr">
        <is>
          <t>10 мл</t>
        </is>
      </c>
      <c r="D12" s="366" t="inlineStr">
        <is>
          <t>60 мл</t>
        </is>
      </c>
      <c r="E12" s="388" t="n"/>
      <c r="F12" s="388" t="n"/>
    </row>
    <row r="13">
      <c r="A13" s="524" t="n"/>
      <c r="B13" s="58" t="inlineStr">
        <is>
          <t>Сироп сахар</t>
        </is>
      </c>
      <c r="C13" s="366" t="inlineStr">
        <is>
          <t>20 мл</t>
        </is>
      </c>
      <c r="D13" s="366" t="inlineStr">
        <is>
          <t>60 мл</t>
        </is>
      </c>
      <c r="E13" s="388" t="n"/>
      <c r="F13" s="388" t="n"/>
    </row>
    <row r="14">
      <c r="A14" s="524" t="n"/>
      <c r="B14" s="58" t="inlineStr">
        <is>
          <t>Базилик ( свежий )</t>
        </is>
      </c>
      <c r="C14" s="366" t="inlineStr">
        <is>
          <t>5 листиков</t>
        </is>
      </c>
      <c r="D14" s="366" t="inlineStr">
        <is>
          <t>10 ( листиков )</t>
        </is>
      </c>
      <c r="E14" s="388" t="n"/>
      <c r="F14" s="388" t="n"/>
    </row>
    <row r="15">
      <c r="A15" s="524" t="n"/>
      <c r="B15" s="58" t="inlineStr">
        <is>
          <t>Содовая ( Ledenev )</t>
        </is>
      </c>
      <c r="C15" s="366" t="inlineStr">
        <is>
          <t>топ ( 100 мл )</t>
        </is>
      </c>
      <c r="D15" s="366" t="inlineStr">
        <is>
          <t>топ ( 550 мл )</t>
        </is>
      </c>
      <c r="E15" s="388" t="n"/>
      <c r="F15" s="388" t="n"/>
    </row>
    <row r="16">
      <c r="A16" s="318" t="inlineStr">
        <is>
          <t>Название</t>
        </is>
      </c>
      <c r="B16" s="318" t="inlineStr">
        <is>
          <t>Ингридиенты</t>
        </is>
      </c>
      <c r="C16" s="384" t="inlineStr">
        <is>
          <t xml:space="preserve">                                         Кол-во</t>
        </is>
      </c>
      <c r="D16" s="385" t="n"/>
      <c r="E16" s="318" t="inlineStr">
        <is>
          <t>Гарнир</t>
        </is>
      </c>
      <c r="F16" s="318" t="inlineStr">
        <is>
          <t>Метод</t>
        </is>
      </c>
    </row>
    <row r="17">
      <c r="A17" s="58" t="inlineStr">
        <is>
          <t>Agility</t>
        </is>
      </c>
      <c r="B17" s="58" t="inlineStr">
        <is>
          <t>Сироп огурец</t>
        </is>
      </c>
      <c r="C17" s="366" t="inlineStr">
        <is>
          <t>40 мл</t>
        </is>
      </c>
      <c r="D17" s="366" t="inlineStr">
        <is>
          <t>200 мл</t>
        </is>
      </c>
      <c r="E17" s="366" t="inlineStr">
        <is>
          <t xml:space="preserve">Огурец ( пил )  </t>
        </is>
      </c>
      <c r="F17" s="366" t="inlineStr">
        <is>
          <t>Шейк</t>
        </is>
      </c>
    </row>
    <row r="18">
      <c r="A18" s="58" t="n"/>
      <c r="B18" s="58" t="inlineStr">
        <is>
          <t>Сироп лемонграсс</t>
        </is>
      </c>
      <c r="C18" s="366" t="inlineStr">
        <is>
          <t>20 мл</t>
        </is>
      </c>
      <c r="D18" s="366" t="inlineStr">
        <is>
          <t>140 мл</t>
        </is>
      </c>
      <c r="E18" s="366" t="n"/>
      <c r="F18" s="366" t="n"/>
    </row>
    <row r="19">
      <c r="A19" s="524" t="n"/>
      <c r="B19" s="58" t="inlineStr">
        <is>
          <t>Фреш лимона</t>
        </is>
      </c>
      <c r="C19" s="366" t="inlineStr">
        <is>
          <t>25 мл</t>
        </is>
      </c>
      <c r="D19" s="366" t="inlineStr">
        <is>
          <t>100 мл</t>
        </is>
      </c>
      <c r="E19" s="388" t="n"/>
      <c r="F19" s="388" t="n"/>
    </row>
    <row r="20">
      <c r="A20" s="524" t="n"/>
      <c r="B20" s="58" t="inlineStr">
        <is>
          <t>Содовая ( Ledenev )</t>
        </is>
      </c>
      <c r="C20" s="366" t="inlineStr">
        <is>
          <t>топ ( 100 мл )</t>
        </is>
      </c>
      <c r="D20" s="366" t="inlineStr">
        <is>
          <t>топ ( 600 мл )</t>
        </is>
      </c>
      <c r="E20" s="388" t="n"/>
      <c r="F20" s="388" t="n"/>
    </row>
    <row r="21">
      <c r="A21" s="318" t="inlineStr">
        <is>
          <t>Название</t>
        </is>
      </c>
      <c r="B21" s="318" t="inlineStr">
        <is>
          <t>Ингридиенты</t>
        </is>
      </c>
      <c r="C21" s="384" t="inlineStr">
        <is>
          <t xml:space="preserve">                                         Кол-во</t>
        </is>
      </c>
      <c r="D21" s="385" t="n"/>
      <c r="E21" s="318" t="inlineStr">
        <is>
          <t>Гарнир</t>
        </is>
      </c>
      <c r="F21" s="318" t="inlineStr">
        <is>
          <t>Метод</t>
        </is>
      </c>
    </row>
    <row r="22">
      <c r="A22" s="58" t="inlineStr">
        <is>
          <t>Intelligence</t>
        </is>
      </c>
      <c r="B22" s="390" t="inlineStr">
        <is>
          <t>Фреш лимон</t>
        </is>
      </c>
      <c r="C22" s="366" t="inlineStr">
        <is>
          <t>20 мл</t>
        </is>
      </c>
      <c r="D22" s="366" t="inlineStr">
        <is>
          <t>120 мл</t>
        </is>
      </c>
      <c r="E22" s="366" t="inlineStr">
        <is>
          <t xml:space="preserve">Манго ( сушоный ) </t>
        </is>
      </c>
      <c r="F22" s="366" t="inlineStr">
        <is>
          <t>Шейк</t>
        </is>
      </c>
    </row>
    <row r="23">
      <c r="A23" s="58" t="n"/>
      <c r="B23" s="390" t="inlineStr">
        <is>
          <t>Пюре манго</t>
        </is>
      </c>
      <c r="C23" s="366" t="inlineStr">
        <is>
          <t>60 мл</t>
        </is>
      </c>
      <c r="D23" s="366" t="inlineStr">
        <is>
          <t>250 мл</t>
        </is>
      </c>
      <c r="E23" s="366" t="n"/>
      <c r="F23" s="366" t="n"/>
    </row>
    <row r="24">
      <c r="A24" s="524" t="n"/>
      <c r="B24" s="390" t="inlineStr">
        <is>
          <t>Сироп Шалфей/жасмин</t>
        </is>
      </c>
      <c r="C24" s="366" t="inlineStr">
        <is>
          <t>30 мл</t>
        </is>
      </c>
      <c r="D24" s="366" t="inlineStr">
        <is>
          <t>120 мл</t>
        </is>
      </c>
      <c r="E24" s="388" t="n"/>
      <c r="F24" s="388" t="n"/>
    </row>
    <row r="25">
      <c r="A25" s="524" t="n"/>
      <c r="B25" s="58" t="inlineStr">
        <is>
          <t>Содовая ( Ledenev )</t>
        </is>
      </c>
      <c r="C25" s="366" t="inlineStr">
        <is>
          <t>топ ( 100 мл )</t>
        </is>
      </c>
      <c r="D25" s="366" t="inlineStr">
        <is>
          <t>топ ( 500 мл )</t>
        </is>
      </c>
      <c r="E25" s="388" t="n"/>
      <c r="F25" s="388" t="n"/>
    </row>
    <row r="26">
      <c r="A26" s="391" t="inlineStr">
        <is>
          <t>Название</t>
        </is>
      </c>
      <c r="B26" s="391" t="inlineStr">
        <is>
          <t>Ингридиенты</t>
        </is>
      </c>
      <c r="C26" s="392" t="inlineStr">
        <is>
          <t xml:space="preserve">                                         Кол-во</t>
        </is>
      </c>
      <c r="D26" s="391" t="n"/>
      <c r="E26" s="391" t="inlineStr">
        <is>
          <t>Гарнир</t>
        </is>
      </c>
      <c r="F26" s="391" t="inlineStr">
        <is>
          <t>Метод</t>
        </is>
      </c>
    </row>
    <row r="27">
      <c r="A27" s="58" t="inlineStr">
        <is>
          <t>Charisma</t>
        </is>
      </c>
      <c r="B27" s="58" t="inlineStr">
        <is>
          <t>Фреш лимон</t>
        </is>
      </c>
      <c r="C27" s="366" t="inlineStr">
        <is>
          <t>20 мл</t>
        </is>
      </c>
      <c r="D27" s="366" t="inlineStr">
        <is>
          <t>60 мл</t>
        </is>
      </c>
      <c r="E27" s="366" t="inlineStr">
        <is>
          <t xml:space="preserve">Апельсин ( пил ) </t>
        </is>
      </c>
      <c r="F27" s="366" t="inlineStr">
        <is>
          <t>Шейк</t>
        </is>
      </c>
    </row>
    <row r="28">
      <c r="A28" s="58" t="n"/>
      <c r="B28" s="58" t="inlineStr">
        <is>
          <t>Пюре мандарин</t>
        </is>
      </c>
      <c r="C28" s="366" t="inlineStr">
        <is>
          <t>60 мл</t>
        </is>
      </c>
      <c r="D28" s="366" t="inlineStr">
        <is>
          <t>200 мл</t>
        </is>
      </c>
      <c r="E28" s="366" t="n"/>
      <c r="F28" s="366" t="n"/>
    </row>
    <row r="29">
      <c r="A29" s="524" t="n"/>
      <c r="B29" s="58" t="inlineStr">
        <is>
          <t>Сироп мандарин</t>
        </is>
      </c>
      <c r="C29" s="366" t="inlineStr">
        <is>
          <t>15 мл</t>
        </is>
      </c>
      <c r="D29" s="366" t="inlineStr">
        <is>
          <t>60 мл</t>
        </is>
      </c>
      <c r="E29" s="388" t="n"/>
      <c r="F29" s="388" t="n"/>
    </row>
    <row r="30">
      <c r="A30" s="524" t="n"/>
      <c r="B30" s="58" t="inlineStr">
        <is>
          <t>Сироп молочный улун</t>
        </is>
      </c>
      <c r="C30" s="366" t="inlineStr">
        <is>
          <t>20 мл</t>
        </is>
      </c>
      <c r="D30" s="366" t="inlineStr">
        <is>
          <t>100 мл</t>
        </is>
      </c>
      <c r="E30" s="388" t="n"/>
      <c r="F30" s="388" t="n"/>
    </row>
    <row r="31">
      <c r="A31" s="524" t="n"/>
      <c r="B31" s="58" t="inlineStr">
        <is>
          <t>Содовая ( Ledenev )</t>
        </is>
      </c>
      <c r="C31" s="366" t="inlineStr">
        <is>
          <t>топ ( 100 мл )</t>
        </is>
      </c>
      <c r="D31" s="366" t="inlineStr">
        <is>
          <t>топ ( 500 мл )</t>
        </is>
      </c>
      <c r="E31" s="388" t="n"/>
      <c r="F31" s="388" t="n"/>
    </row>
    <row r="32">
      <c r="A32" s="393" t="n"/>
      <c r="B32" s="393" t="n"/>
      <c r="C32" s="394" t="n"/>
      <c r="D32" s="6" t="n"/>
      <c r="E32" s="393" t="n"/>
      <c r="F32" s="393" t="n"/>
    </row>
    <row r="33">
      <c r="A33" s="397" t="n"/>
      <c r="B33" s="397" t="n"/>
      <c r="C33" s="398" t="n"/>
      <c r="D33" s="398" t="n"/>
      <c r="E33" s="397" t="n"/>
      <c r="F33" s="397" t="n"/>
    </row>
    <row r="34">
      <c r="A34" s="6" t="n"/>
      <c r="B34" s="397" t="n"/>
      <c r="C34" s="398" t="n"/>
      <c r="D34" s="398" t="n"/>
      <c r="E34" s="397" t="n"/>
      <c r="F34" s="6" t="n"/>
    </row>
    <row r="35">
      <c r="A35" s="6" t="n"/>
      <c r="B35" s="397" t="n"/>
      <c r="C35" s="398" t="n"/>
      <c r="D35" s="398" t="n"/>
      <c r="E35" s="6" t="n"/>
      <c r="F35" s="6" t="n"/>
    </row>
    <row r="36">
      <c r="A36" s="6" t="n"/>
      <c r="B36" s="397" t="n"/>
      <c r="C36" s="398" t="n"/>
      <c r="D36" s="398" t="n"/>
      <c r="E36" s="6" t="n"/>
      <c r="F36" s="6" t="n"/>
    </row>
    <row r="37">
      <c r="A37" s="6" t="n"/>
      <c r="B37" s="397" t="n"/>
      <c r="C37" s="398" t="n"/>
      <c r="D37" s="398" t="n"/>
      <c r="E37" s="6" t="n"/>
      <c r="F37" s="6" t="n"/>
    </row>
    <row r="38">
      <c r="A38" s="393" t="n"/>
      <c r="B38" s="393" t="n"/>
      <c r="C38" s="394" t="n"/>
      <c r="D38" s="6" t="n"/>
      <c r="E38" s="393" t="n"/>
      <c r="F38" s="393" t="n"/>
    </row>
    <row r="39">
      <c r="A39" s="397" t="n"/>
      <c r="B39" s="397" t="n"/>
      <c r="C39" s="398" t="n"/>
      <c r="D39" s="398" t="n"/>
      <c r="E39" s="397" t="n"/>
      <c r="F39" s="397" t="n"/>
    </row>
    <row r="40">
      <c r="A40" s="6" t="n"/>
      <c r="B40" s="397" t="n"/>
      <c r="C40" s="398" t="n"/>
      <c r="D40" s="398" t="n"/>
      <c r="E40" s="6" t="n"/>
      <c r="F40" s="6" t="n"/>
    </row>
    <row r="41">
      <c r="A41" s="6" t="n"/>
      <c r="B41" s="397" t="n"/>
      <c r="C41" s="398" t="n"/>
      <c r="D41" s="398" t="n"/>
      <c r="E41" s="6" t="n"/>
      <c r="F41" s="6" t="n"/>
    </row>
    <row r="42">
      <c r="A42" s="6" t="n"/>
      <c r="B42" s="397" t="n"/>
      <c r="C42" s="398" t="n"/>
      <c r="D42" s="398" t="n"/>
      <c r="E42" s="6" t="n"/>
      <c r="F42" s="6" t="n"/>
    </row>
    <row r="43">
      <c r="A43" s="6" t="n"/>
      <c r="B43" s="397" t="n"/>
      <c r="C43" s="398" t="n"/>
      <c r="D43" s="398" t="n"/>
      <c r="E43" s="6" t="n"/>
      <c r="F43" s="6" t="n"/>
    </row>
    <row r="44">
      <c r="A44" s="393" t="n"/>
      <c r="B44" s="393" t="n"/>
      <c r="C44" s="394" t="n"/>
      <c r="D44" s="6" t="n"/>
      <c r="E44" s="393" t="n"/>
      <c r="F44" s="393" t="n"/>
    </row>
    <row r="45">
      <c r="A45" s="397" t="n"/>
      <c r="B45" s="397" t="n"/>
      <c r="C45" s="398" t="n"/>
      <c r="D45" s="398" t="n"/>
      <c r="E45" s="397" t="n"/>
      <c r="F45" s="397" t="n"/>
    </row>
    <row r="46">
      <c r="A46" s="6" t="n"/>
      <c r="B46" s="397" t="n"/>
      <c r="C46" s="398" t="n"/>
      <c r="D46" s="398" t="n"/>
      <c r="E46" s="6" t="n"/>
      <c r="F46" s="6" t="n"/>
    </row>
    <row r="47">
      <c r="A47" s="6" t="n"/>
      <c r="B47" s="397" t="n"/>
      <c r="C47" s="398" t="n"/>
      <c r="D47" s="398" t="n"/>
      <c r="E47" s="6" t="n"/>
      <c r="F47" s="6" t="n"/>
    </row>
    <row r="48">
      <c r="A48" s="6" t="n"/>
      <c r="B48" s="397" t="n"/>
      <c r="C48" s="398" t="n"/>
      <c r="D48" s="398" t="n"/>
      <c r="E48" s="6" t="n"/>
      <c r="F48" s="6" t="n"/>
    </row>
    <row r="49">
      <c r="A49" s="6" t="n"/>
      <c r="B49" s="397" t="n"/>
      <c r="C49" s="398" t="n"/>
      <c r="D49" s="398" t="n"/>
      <c r="E49" s="6" t="n"/>
      <c r="F49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171"/>
  <sheetViews>
    <sheetView workbookViewId="0">
      <selection activeCell="A1" sqref="A1"/>
    </sheetView>
  </sheetViews>
  <sheetFormatPr baseColWidth="8" defaultColWidth="14.43" defaultRowHeight="15" customHeight="1"/>
  <cols>
    <col width="31.14" customWidth="1" style="552" min="1" max="1"/>
    <col width="21" customWidth="1" style="552" min="2" max="2"/>
    <col width="22.14" customWidth="1" style="552" min="4" max="4"/>
    <col width="40" customWidth="1" style="552" min="5" max="5"/>
    <col width="27.29" customWidth="1" style="552" min="7" max="7"/>
    <col width="22.57" customWidth="1" style="552" min="8" max="8"/>
    <col width="25.29" customWidth="1" style="552" min="10" max="10"/>
    <col width="34.71" customWidth="1" style="552" min="11" max="11"/>
  </cols>
  <sheetData>
    <row r="1">
      <c r="A1" s="399" t="inlineStr">
        <is>
          <t>Чай:</t>
        </is>
      </c>
      <c r="B1" s="460" t="n"/>
      <c r="C1" s="460" t="n"/>
      <c r="D1" s="460" t="n"/>
      <c r="E1" s="400" t="n"/>
      <c r="G1" s="401" t="n"/>
      <c r="H1" s="402" t="n"/>
      <c r="I1" s="402" t="n"/>
      <c r="J1" s="402" t="n"/>
      <c r="K1" s="402" t="n"/>
    </row>
    <row r="2">
      <c r="A2" s="318" t="inlineStr">
        <is>
          <t>Название</t>
        </is>
      </c>
      <c r="B2" s="357" t="inlineStr">
        <is>
          <t>Ингридиенты</t>
        </is>
      </c>
      <c r="C2" s="357" t="inlineStr">
        <is>
          <t>Кол-во</t>
        </is>
      </c>
      <c r="D2" s="357" t="inlineStr">
        <is>
          <t>Гарнир</t>
        </is>
      </c>
      <c r="E2" s="400" t="n"/>
      <c r="G2" s="400" t="n"/>
      <c r="H2" s="400" t="n"/>
      <c r="I2" s="400" t="n"/>
      <c r="J2" s="400" t="n"/>
      <c r="K2" s="400" t="n"/>
    </row>
    <row r="3">
      <c r="A3" s="403" t="inlineStr">
        <is>
          <t>Hast rune ( руна ускорения )</t>
        </is>
      </c>
      <c r="B3" s="259" t="inlineStr">
        <is>
          <t>Клубника с/м</t>
        </is>
      </c>
      <c r="C3" s="257" t="inlineStr">
        <is>
          <t>40 грм</t>
        </is>
      </c>
      <c r="D3" s="259" t="inlineStr">
        <is>
          <t>Ягоды с/м 50 грм</t>
        </is>
      </c>
      <c r="E3" s="408" t="n"/>
      <c r="G3" s="408" t="n"/>
      <c r="H3" s="408" t="n"/>
      <c r="I3" s="405" t="n"/>
      <c r="J3" s="408" t="n"/>
      <c r="K3" s="408" t="n"/>
    </row>
    <row r="4">
      <c r="A4" s="406" t="inlineStr">
        <is>
          <t xml:space="preserve"> ( новый, замена ягодному )</t>
        </is>
      </c>
      <c r="B4" s="259" t="inlineStr">
        <is>
          <t>бальзамический крем</t>
        </is>
      </c>
      <c r="C4" s="257" t="inlineStr">
        <is>
          <t>15 мл</t>
        </is>
      </c>
      <c r="D4" s="407" t="n"/>
      <c r="E4" s="408" t="n"/>
      <c r="G4" s="408" t="n"/>
      <c r="H4" s="408" t="n"/>
      <c r="I4" s="405" t="n"/>
      <c r="J4" s="408" t="n"/>
      <c r="K4" s="408" t="n"/>
    </row>
    <row r="5">
      <c r="A5" s="513" t="n"/>
      <c r="B5" s="259" t="inlineStr">
        <is>
          <t>перец черный ( горощек )</t>
        </is>
      </c>
      <c r="C5" s="257" t="inlineStr">
        <is>
          <t>2 грм</t>
        </is>
      </c>
      <c r="D5" s="407" t="n"/>
      <c r="E5" s="408" t="n"/>
      <c r="G5" s="408" t="n"/>
      <c r="H5" s="408" t="n"/>
      <c r="I5" s="405" t="n"/>
      <c r="J5" s="408" t="n"/>
      <c r="K5" s="408" t="n"/>
    </row>
    <row r="6">
      <c r="A6" s="513" t="n"/>
      <c r="B6" s="259" t="inlineStr">
        <is>
          <t>Сироп клубника</t>
        </is>
      </c>
      <c r="C6" s="257" t="inlineStr">
        <is>
          <t>70 мл</t>
        </is>
      </c>
      <c r="D6" s="407" t="n"/>
      <c r="E6" s="408" t="n"/>
      <c r="G6" s="408" t="n"/>
      <c r="H6" s="408" t="n"/>
      <c r="I6" s="405" t="n"/>
      <c r="J6" s="402" t="n"/>
      <c r="K6" s="408" t="n"/>
    </row>
    <row r="7">
      <c r="A7" s="513" t="n"/>
      <c r="B7" s="259" t="inlineStr">
        <is>
          <t>ПФ каркаде</t>
        </is>
      </c>
      <c r="C7" s="257" t="inlineStr">
        <is>
          <t>550 мл</t>
        </is>
      </c>
      <c r="D7" s="407" t="n"/>
      <c r="E7" s="408" t="n"/>
      <c r="G7" s="408" t="n"/>
      <c r="H7" s="408" t="n"/>
      <c r="I7" s="405" t="n"/>
      <c r="J7" s="402" t="n"/>
      <c r="K7" s="408" t="n"/>
    </row>
    <row r="8">
      <c r="A8" s="513" t="n"/>
      <c r="B8" s="259" t="inlineStr">
        <is>
          <t>Кипяток</t>
        </is>
      </c>
      <c r="C8" s="257" t="inlineStr">
        <is>
          <t xml:space="preserve">топ </t>
        </is>
      </c>
      <c r="D8" s="407" t="n"/>
      <c r="E8" s="408" t="n"/>
      <c r="G8" s="408" t="n"/>
      <c r="H8" s="408" t="n"/>
      <c r="I8" s="405" t="n"/>
      <c r="J8" s="402" t="n"/>
      <c r="K8" s="408" t="n"/>
    </row>
    <row r="9">
      <c r="A9" s="253" t="inlineStr">
        <is>
          <t>Название</t>
        </is>
      </c>
      <c r="B9" s="254" t="inlineStr">
        <is>
          <t>Ингридиенты</t>
        </is>
      </c>
      <c r="C9" s="254" t="inlineStr">
        <is>
          <t>Кол-во</t>
        </is>
      </c>
      <c r="D9" s="254" t="inlineStr">
        <is>
          <t>Гаринр</t>
        </is>
      </c>
      <c r="E9" s="408" t="n"/>
      <c r="G9" s="402" t="n"/>
      <c r="H9" s="402" t="n"/>
      <c r="I9" s="402" t="n"/>
      <c r="J9" s="402" t="n"/>
      <c r="K9" s="408" t="n"/>
    </row>
    <row r="10">
      <c r="A10" s="403" t="inlineStr">
        <is>
          <t>Wisdom rune ( руна мудрости )</t>
        </is>
      </c>
      <c r="B10" s="259" t="inlineStr">
        <is>
          <t>Личи консервированный</t>
        </is>
      </c>
      <c r="C10" s="257" t="inlineStr">
        <is>
          <t>5 шт</t>
        </is>
      </c>
      <c r="D10" s="259" t="inlineStr">
        <is>
          <t>Личи 30 грм</t>
        </is>
      </c>
      <c r="E10" s="400" t="n"/>
      <c r="G10" s="402" t="n"/>
      <c r="H10" s="402" t="n"/>
      <c r="I10" s="402" t="n"/>
      <c r="J10" s="402" t="n"/>
      <c r="K10" s="408" t="n"/>
    </row>
    <row r="11">
      <c r="A11" s="406" t="inlineStr">
        <is>
          <t xml:space="preserve"> ( новый )</t>
        </is>
      </c>
      <c r="B11" s="259" t="inlineStr">
        <is>
          <t>ПФ анчан</t>
        </is>
      </c>
      <c r="C11" s="257" t="inlineStr">
        <is>
          <t>550 мл</t>
        </is>
      </c>
      <c r="D11" s="259" t="n"/>
      <c r="E11" s="408" t="n"/>
      <c r="G11" s="402" t="n"/>
      <c r="H11" s="402" t="n"/>
      <c r="I11" s="402" t="n"/>
      <c r="J11" s="402" t="n"/>
      <c r="K11" s="408" t="n"/>
    </row>
    <row r="12">
      <c r="A12" s="513" t="n"/>
      <c r="B12" s="259" t="inlineStr">
        <is>
          <t>Сироп личи</t>
        </is>
      </c>
      <c r="C12" s="257" t="inlineStr">
        <is>
          <t>60 мл</t>
        </is>
      </c>
      <c r="D12" s="259" t="n"/>
      <c r="E12" s="408" t="n"/>
      <c r="G12" s="402" t="n"/>
      <c r="H12" s="402" t="n"/>
      <c r="I12" s="402" t="n"/>
      <c r="J12" s="402" t="n"/>
      <c r="K12" s="397" t="n"/>
    </row>
    <row r="13">
      <c r="A13" s="513" t="n"/>
      <c r="B13" s="259" t="inlineStr">
        <is>
          <t>Сироп кокос</t>
        </is>
      </c>
      <c r="C13" s="257" t="inlineStr">
        <is>
          <t>70 мл</t>
        </is>
      </c>
      <c r="D13" s="407" t="n"/>
      <c r="E13" s="408" t="n"/>
      <c r="G13" s="402" t="n"/>
      <c r="H13" s="402" t="n"/>
      <c r="I13" s="402" t="n"/>
      <c r="J13" s="402" t="n"/>
      <c r="K13" s="397" t="n"/>
    </row>
    <row r="14">
      <c r="A14" s="513" t="n"/>
      <c r="B14" s="259" t="inlineStr">
        <is>
          <t>Лимонный фреш</t>
        </is>
      </c>
      <c r="C14" s="257" t="inlineStr">
        <is>
          <t>30 мл</t>
        </is>
      </c>
      <c r="D14" s="407" t="n"/>
      <c r="E14" s="408" t="n"/>
      <c r="G14" s="402" t="n"/>
      <c r="H14" s="402" t="n"/>
      <c r="I14" s="402" t="n"/>
      <c r="J14" s="402" t="n"/>
      <c r="K14" s="397" t="n"/>
    </row>
    <row r="15">
      <c r="A15" s="513" t="n"/>
      <c r="B15" s="259" t="inlineStr">
        <is>
          <t xml:space="preserve">Тимьян ( свежий ) </t>
        </is>
      </c>
      <c r="C15" s="257" t="inlineStr">
        <is>
          <t>2 грм</t>
        </is>
      </c>
      <c r="D15" s="407" t="n"/>
      <c r="E15" s="408" t="n"/>
      <c r="G15" s="400" t="n"/>
      <c r="H15" s="400" t="n"/>
      <c r="I15" s="400" t="n"/>
      <c r="J15" s="400" t="n"/>
      <c r="K15" s="400" t="n"/>
    </row>
    <row r="16">
      <c r="A16" s="513" t="n"/>
      <c r="B16" s="259" t="inlineStr">
        <is>
          <t>Вода роза</t>
        </is>
      </c>
      <c r="C16" s="257" t="inlineStr">
        <is>
          <t>15 мл</t>
        </is>
      </c>
      <c r="D16" s="407" t="n"/>
      <c r="E16" s="408" t="n"/>
      <c r="G16" s="397" t="n"/>
      <c r="H16" s="397" t="n"/>
      <c r="I16" s="398" t="n"/>
      <c r="J16" s="397" t="n"/>
      <c r="K16" s="397" t="n"/>
    </row>
    <row r="17">
      <c r="A17" s="513" t="n"/>
      <c r="B17" s="259" t="inlineStr">
        <is>
          <t xml:space="preserve">Кипяток </t>
        </is>
      </c>
      <c r="C17" s="257" t="inlineStr">
        <is>
          <t xml:space="preserve">топ </t>
        </is>
      </c>
      <c r="D17" s="407" t="n"/>
      <c r="E17" s="408" t="n"/>
      <c r="G17" s="410" t="n"/>
      <c r="H17" s="397" t="n"/>
      <c r="I17" s="398" t="n"/>
      <c r="J17" s="397" t="n"/>
      <c r="K17" s="397" t="n"/>
    </row>
    <row r="18">
      <c r="A18" s="253" t="inlineStr">
        <is>
          <t>Название</t>
        </is>
      </c>
      <c r="B18" s="254" t="inlineStr">
        <is>
          <t>Ингридиенты</t>
        </is>
      </c>
      <c r="C18" s="254" t="inlineStr">
        <is>
          <t>Кол-во</t>
        </is>
      </c>
      <c r="D18" s="254" t="inlineStr">
        <is>
          <t>Гарнир</t>
        </is>
      </c>
      <c r="E18" s="408" t="n"/>
      <c r="G18" s="410" t="n"/>
      <c r="H18" s="397" t="n"/>
      <c r="I18" s="398" t="n"/>
      <c r="J18" s="410" t="n"/>
      <c r="K18" s="397" t="n"/>
    </row>
    <row r="19">
      <c r="A19" s="403" t="inlineStr">
        <is>
          <t>Regeneration rune ( руна регенерации )</t>
        </is>
      </c>
      <c r="B19" s="259" t="inlineStr">
        <is>
          <t>Пф Лунцзин</t>
        </is>
      </c>
      <c r="C19" s="257" t="inlineStr">
        <is>
          <t>550 мл</t>
        </is>
      </c>
      <c r="D19" s="259" t="inlineStr">
        <is>
          <t xml:space="preserve">слайс яблока Гремми Смитт </t>
        </is>
      </c>
      <c r="E19" s="400" t="n"/>
      <c r="G19" s="410" t="n"/>
      <c r="H19" s="397" t="n"/>
      <c r="I19" s="398" t="n"/>
      <c r="J19" s="410" t="n"/>
      <c r="K19" s="397" t="n"/>
    </row>
    <row r="20">
      <c r="A20" s="406" t="inlineStr">
        <is>
          <t xml:space="preserve"> ( новый )</t>
        </is>
      </c>
      <c r="B20" s="259" t="inlineStr">
        <is>
          <t>Изотоник груша</t>
        </is>
      </c>
      <c r="C20" s="257" t="inlineStr">
        <is>
          <t>30 грм</t>
        </is>
      </c>
      <c r="D20" s="259" t="inlineStr">
        <is>
          <t>5 слайсов ( 40 грм )</t>
        </is>
      </c>
      <c r="E20" s="408" t="n"/>
      <c r="G20" s="410" t="n"/>
      <c r="H20" s="397" t="n"/>
      <c r="I20" s="398" t="n"/>
      <c r="J20" s="410" t="n"/>
      <c r="K20" s="397" t="n"/>
    </row>
    <row r="21">
      <c r="A21" s="513" t="n"/>
      <c r="B21" s="259" t="inlineStr">
        <is>
          <t>Розмарин</t>
        </is>
      </c>
      <c r="C21" s="257" t="inlineStr">
        <is>
          <t>3 грм</t>
        </is>
      </c>
      <c r="D21" s="407" t="n"/>
      <c r="E21" s="408" t="n"/>
      <c r="G21" s="410" t="n"/>
      <c r="H21" s="410" t="n"/>
      <c r="I21" s="410" t="n"/>
      <c r="J21" s="410" t="n"/>
      <c r="K21" s="397" t="n"/>
    </row>
    <row r="22">
      <c r="A22" s="513" t="n"/>
      <c r="B22" s="259" t="inlineStr">
        <is>
          <t>Яблоко гремми смитт</t>
        </is>
      </c>
      <c r="C22" s="257" t="inlineStr">
        <is>
          <t>50 грм</t>
        </is>
      </c>
      <c r="D22" s="407" t="n"/>
      <c r="E22" s="408" t="n"/>
      <c r="G22" s="410" t="n"/>
      <c r="H22" s="410" t="n"/>
      <c r="I22" s="410" t="n"/>
      <c r="J22" s="410" t="n"/>
      <c r="K22" s="397" t="n"/>
    </row>
    <row r="23">
      <c r="A23" s="513" t="n"/>
      <c r="B23" s="259" t="inlineStr">
        <is>
          <t>Лимонный фреш</t>
        </is>
      </c>
      <c r="C23" s="257" t="inlineStr">
        <is>
          <t>30 мл</t>
        </is>
      </c>
      <c r="D23" s="407" t="n"/>
      <c r="E23" s="408" t="n"/>
      <c r="G23" s="410" t="n"/>
      <c r="H23" s="410" t="n"/>
      <c r="I23" s="410" t="n"/>
      <c r="J23" s="410" t="n"/>
      <c r="K23" s="397" t="n"/>
    </row>
    <row r="24">
      <c r="A24" s="513" t="n"/>
      <c r="B24" s="259" t="inlineStr">
        <is>
          <t>Кипяток</t>
        </is>
      </c>
      <c r="C24" s="257" t="inlineStr">
        <is>
          <t xml:space="preserve">топ </t>
        </is>
      </c>
      <c r="D24" s="407" t="n"/>
      <c r="E24" s="408" t="n"/>
      <c r="G24" s="410" t="n"/>
      <c r="H24" s="410" t="n"/>
      <c r="I24" s="410" t="n"/>
      <c r="J24" s="410" t="n"/>
      <c r="K24" s="397" t="n"/>
    </row>
    <row r="25">
      <c r="A25" s="318" t="inlineStr">
        <is>
          <t>Название</t>
        </is>
      </c>
      <c r="B25" s="318" t="inlineStr">
        <is>
          <t>Ингридиенты</t>
        </is>
      </c>
      <c r="C25" s="318" t="inlineStr">
        <is>
          <t>Кол-во</t>
        </is>
      </c>
      <c r="D25" s="318" t="inlineStr">
        <is>
          <t>Гарнир</t>
        </is>
      </c>
      <c r="E25" s="408" t="n"/>
      <c r="G25" s="410" t="n"/>
      <c r="H25" s="410" t="n"/>
      <c r="I25" s="410" t="n"/>
      <c r="J25" s="410" t="n"/>
      <c r="K25" s="397" t="n"/>
    </row>
    <row r="26">
      <c r="A26" s="403" t="inlineStr">
        <is>
          <t>Shield rune ( руна защиты )</t>
        </is>
      </c>
      <c r="B26" s="411" t="inlineStr">
        <is>
          <t>Личи консервированный</t>
        </is>
      </c>
      <c r="C26" s="282" t="inlineStr">
        <is>
          <t>4 шт</t>
        </is>
      </c>
      <c r="D26" s="411" t="inlineStr">
        <is>
          <t>Лайм ( слайсы ) 20 грм</t>
        </is>
      </c>
      <c r="E26" s="408" t="n"/>
      <c r="G26" s="410" t="n"/>
      <c r="H26" s="410" t="n"/>
      <c r="I26" s="410" t="n"/>
      <c r="J26" s="410" t="n"/>
      <c r="K26" s="397" t="n"/>
    </row>
    <row r="27">
      <c r="A27" s="72" t="inlineStr">
        <is>
          <t xml:space="preserve"> ( бывший - цитрусовый )</t>
        </is>
      </c>
      <c r="B27" s="411" t="inlineStr">
        <is>
          <t>ПФ жасмин</t>
        </is>
      </c>
      <c r="C27" s="282" t="inlineStr">
        <is>
          <t>350 мл</t>
        </is>
      </c>
      <c r="D27" s="411" t="inlineStr">
        <is>
          <t>Апельсин ( слайсы ) 20 грм</t>
        </is>
      </c>
      <c r="E27" s="408" t="n"/>
      <c r="G27" s="410" t="n"/>
      <c r="H27" s="410" t="n"/>
      <c r="I27" s="410" t="n"/>
      <c r="J27" s="410" t="n"/>
      <c r="K27" s="397" t="n"/>
    </row>
    <row r="28">
      <c r="A28" s="44" t="n"/>
      <c r="B28" s="411" t="inlineStr">
        <is>
          <t>Сироп личи</t>
        </is>
      </c>
      <c r="C28" s="282" t="inlineStr">
        <is>
          <t>30 мл</t>
        </is>
      </c>
      <c r="D28" s="411" t="inlineStr">
        <is>
          <t>Личи 30 грм</t>
        </is>
      </c>
      <c r="E28" s="408" t="n"/>
      <c r="G28" s="410" t="n"/>
      <c r="H28" s="410" t="n"/>
      <c r="I28" s="410" t="n"/>
      <c r="J28" s="410" t="n"/>
      <c r="K28" s="397" t="n"/>
    </row>
    <row r="29">
      <c r="A29" s="44" t="n"/>
      <c r="B29" s="411" t="inlineStr">
        <is>
          <t>Пюре каламанси</t>
        </is>
      </c>
      <c r="C29" s="282" t="inlineStr">
        <is>
          <t>40 мл</t>
        </is>
      </c>
      <c r="D29" s="411" t="n"/>
      <c r="E29" s="400" t="n"/>
      <c r="G29" s="410" t="n"/>
      <c r="H29" s="410" t="n"/>
      <c r="I29" s="410" t="n"/>
      <c r="J29" s="410" t="n"/>
      <c r="K29" s="397" t="n"/>
    </row>
    <row r="30">
      <c r="A30" s="44" t="n"/>
      <c r="B30" s="411" t="inlineStr">
        <is>
          <t>Лайм ( свежий )</t>
        </is>
      </c>
      <c r="C30" s="282" t="inlineStr">
        <is>
          <t>3 слайса</t>
        </is>
      </c>
      <c r="D30" s="411" t="n"/>
      <c r="E30" s="408" t="n"/>
      <c r="G30" s="410" t="n"/>
      <c r="H30" s="410" t="n"/>
      <c r="I30" s="410" t="n"/>
      <c r="J30" s="410" t="n"/>
      <c r="K30" s="397" t="n"/>
    </row>
    <row r="31">
      <c r="A31" s="44" t="n"/>
      <c r="B31" s="411" t="inlineStr">
        <is>
          <t>Апельсин ( свежий )</t>
        </is>
      </c>
      <c r="C31" s="282" t="inlineStr">
        <is>
          <t>3 слайса</t>
        </is>
      </c>
      <c r="D31" s="411" t="n"/>
      <c r="E31" s="408" t="n"/>
      <c r="G31" s="410" t="n"/>
      <c r="H31" s="410" t="n"/>
      <c r="I31" s="410" t="n"/>
      <c r="J31" s="410" t="n"/>
      <c r="K31" s="397" t="n"/>
    </row>
    <row r="32">
      <c r="A32" s="44" t="n"/>
      <c r="B32" s="411" t="inlineStr">
        <is>
          <t>Сироп сахар</t>
        </is>
      </c>
      <c r="C32" s="282" t="inlineStr">
        <is>
          <t>90 мл</t>
        </is>
      </c>
      <c r="D32" s="411" t="n"/>
      <c r="E32" s="408" t="n"/>
      <c r="G32" s="400" t="n"/>
      <c r="H32" s="400" t="n"/>
      <c r="I32" s="400" t="n"/>
      <c r="J32" s="400" t="n"/>
      <c r="K32" s="400" t="n"/>
    </row>
    <row r="33">
      <c r="A33" s="44" t="n"/>
      <c r="B33" s="411" t="inlineStr">
        <is>
          <t xml:space="preserve">Кипяток </t>
        </is>
      </c>
      <c r="C33" s="282" t="inlineStr">
        <is>
          <t xml:space="preserve">топ </t>
        </is>
      </c>
      <c r="D33" s="411" t="n"/>
      <c r="E33" s="408" t="n"/>
      <c r="G33" s="408" t="n"/>
      <c r="H33" s="408" t="n"/>
      <c r="I33" s="405" t="n"/>
      <c r="J33" s="408" t="n"/>
      <c r="K33" s="397" t="n"/>
    </row>
    <row r="34">
      <c r="A34" s="318" t="inlineStr">
        <is>
          <t>Название</t>
        </is>
      </c>
      <c r="B34" s="318" t="inlineStr">
        <is>
          <t>Ингридиенты</t>
        </is>
      </c>
      <c r="C34" s="318" t="inlineStr">
        <is>
          <t>Кол-во</t>
        </is>
      </c>
      <c r="D34" s="318" t="inlineStr">
        <is>
          <t>Гарнир</t>
        </is>
      </c>
      <c r="E34" s="408" t="n"/>
      <c r="G34" s="408" t="n"/>
      <c r="H34" s="408" t="n"/>
      <c r="I34" s="405" t="n"/>
      <c r="J34" s="408" t="n"/>
      <c r="K34" s="397" t="n"/>
    </row>
    <row r="35">
      <c r="A35" s="403" t="inlineStr">
        <is>
          <t>Illusion rune ( руна иллюзий )</t>
        </is>
      </c>
      <c r="B35" s="411" t="inlineStr">
        <is>
          <t>Пф гречишный</t>
        </is>
      </c>
      <c r="C35" s="282" t="inlineStr">
        <is>
          <t>350 мл</t>
        </is>
      </c>
      <c r="D35" s="411" t="inlineStr">
        <is>
          <t>Анис 2-3 шт ( 10 грм )</t>
        </is>
      </c>
      <c r="E35" s="408" t="n"/>
      <c r="G35" s="408" t="n"/>
      <c r="H35" s="408" t="n"/>
      <c r="I35" s="405" t="n"/>
      <c r="J35" s="408" t="n"/>
      <c r="K35" s="397" t="n"/>
    </row>
    <row r="36">
      <c r="A36" s="72" t="inlineStr">
        <is>
          <t xml:space="preserve"> ( бывший - имбирный )</t>
        </is>
      </c>
      <c r="B36" s="411" t="inlineStr">
        <is>
          <t>Фреш имбирь</t>
        </is>
      </c>
      <c r="C36" s="282" t="inlineStr">
        <is>
          <t>35 мл</t>
        </is>
      </c>
      <c r="D36" s="411" t="inlineStr">
        <is>
          <t>Арахис ( солёный ) ( 20 грм )</t>
        </is>
      </c>
      <c r="E36" s="408" t="n"/>
      <c r="G36" s="408" t="n"/>
      <c r="H36" s="408" t="n"/>
      <c r="I36" s="405" t="n"/>
      <c r="J36" s="408" t="n"/>
      <c r="K36" s="397" t="n"/>
    </row>
    <row r="37">
      <c r="A37" s="44" t="n"/>
      <c r="B37" s="411" t="inlineStr">
        <is>
          <t>Сироп сахар</t>
        </is>
      </c>
      <c r="C37" s="282" t="inlineStr">
        <is>
          <t>70 мл</t>
        </is>
      </c>
      <c r="D37" s="411" t="n"/>
      <c r="E37" s="408" t="n"/>
      <c r="G37" s="408" t="n"/>
      <c r="H37" s="408" t="n"/>
      <c r="I37" s="405" t="n"/>
      <c r="J37" s="408" t="n"/>
      <c r="K37" s="397" t="n"/>
    </row>
    <row r="38">
      <c r="A38" s="44" t="n"/>
      <c r="B38" s="411" t="inlineStr">
        <is>
          <t>Фреш лимон</t>
        </is>
      </c>
      <c r="C38" s="282" t="inlineStr">
        <is>
          <t>35 мл</t>
        </is>
      </c>
      <c r="D38" s="411" t="n"/>
      <c r="E38" s="408" t="n"/>
      <c r="G38" s="408" t="n"/>
      <c r="H38" s="408" t="n"/>
      <c r="I38" s="405" t="n"/>
      <c r="J38" s="408" t="n"/>
      <c r="K38" s="397" t="n"/>
    </row>
    <row r="39">
      <c r="A39" s="44" t="n"/>
      <c r="B39" s="411" t="inlineStr">
        <is>
          <t>Арахис ( жаренный )</t>
        </is>
      </c>
      <c r="C39" s="282" t="inlineStr">
        <is>
          <t>20 грм</t>
        </is>
      </c>
      <c r="D39" s="411" t="n"/>
      <c r="E39" s="408" t="n"/>
      <c r="G39" s="408" t="n"/>
      <c r="H39" s="408" t="n"/>
      <c r="I39" s="405" t="n"/>
      <c r="J39" s="408" t="n"/>
      <c r="K39" s="397" t="n"/>
    </row>
    <row r="40">
      <c r="A40" s="44" t="n"/>
      <c r="B40" s="411" t="inlineStr">
        <is>
          <t>Гидролат Лаванда</t>
        </is>
      </c>
      <c r="C40" s="282" t="inlineStr">
        <is>
          <t>10 мл</t>
        </is>
      </c>
      <c r="D40" s="411" t="n"/>
      <c r="E40" s="408" t="n"/>
      <c r="G40" s="408" t="n"/>
      <c r="H40" s="408" t="n"/>
      <c r="I40" s="405" t="n"/>
      <c r="J40" s="408" t="n"/>
      <c r="K40" s="397" t="n"/>
    </row>
    <row r="41">
      <c r="A41" s="44" t="n"/>
      <c r="B41" s="411" t="inlineStr">
        <is>
          <t xml:space="preserve">Анис </t>
        </is>
      </c>
      <c r="C41" s="282" t="inlineStr">
        <is>
          <t>3 шт</t>
        </is>
      </c>
      <c r="D41" s="411" t="n"/>
      <c r="E41" s="408" t="n"/>
      <c r="G41" s="408" t="n"/>
      <c r="H41" s="408" t="n"/>
      <c r="I41" s="405" t="n"/>
      <c r="J41" s="408" t="n"/>
      <c r="K41" s="397" t="n"/>
    </row>
    <row r="42">
      <c r="A42" s="44" t="n"/>
      <c r="B42" s="411" t="inlineStr">
        <is>
          <t>Кипяток</t>
        </is>
      </c>
      <c r="C42" s="282" t="inlineStr">
        <is>
          <t xml:space="preserve">топ </t>
        </is>
      </c>
      <c r="D42" s="411" t="n"/>
      <c r="E42" s="408" t="n"/>
      <c r="G42" s="408" t="n"/>
      <c r="H42" s="408" t="n"/>
      <c r="I42" s="405" t="n"/>
      <c r="J42" s="408" t="n"/>
      <c r="K42" s="397" t="n"/>
    </row>
    <row r="43">
      <c r="A43" s="412" t="n"/>
      <c r="B43" s="423" t="n"/>
      <c r="C43" s="423" t="n"/>
      <c r="D43" s="423" t="n"/>
      <c r="E43" s="423" t="n"/>
      <c r="G43" s="408" t="n"/>
      <c r="H43" s="408" t="n"/>
      <c r="I43" s="405" t="n"/>
      <c r="J43" s="408" t="n"/>
      <c r="K43" s="408" t="n"/>
    </row>
    <row r="44">
      <c r="A44" s="414" t="inlineStr">
        <is>
          <t>Кофе:</t>
        </is>
      </c>
      <c r="B44" s="423" t="n"/>
      <c r="C44" s="423" t="n"/>
      <c r="D44" s="423" t="n"/>
      <c r="E44" s="423" t="n"/>
      <c r="G44" s="408" t="n"/>
      <c r="H44" s="408" t="n"/>
      <c r="I44" s="405" t="n"/>
      <c r="J44" s="408" t="n"/>
      <c r="K44" s="408" t="n"/>
    </row>
    <row r="45">
      <c r="A45" s="415" t="inlineStr">
        <is>
          <t>Название</t>
        </is>
      </c>
      <c r="B45" s="415" t="inlineStr">
        <is>
          <t>Ингридиенты</t>
        </is>
      </c>
      <c r="C45" s="415" t="inlineStr">
        <is>
          <t>Кол-во</t>
        </is>
      </c>
      <c r="D45" s="415" t="inlineStr">
        <is>
          <t>Посуда</t>
        </is>
      </c>
      <c r="E45" s="415" t="inlineStr">
        <is>
          <t>Метод</t>
        </is>
      </c>
      <c r="G45" s="397" t="n"/>
      <c r="H45" s="397" t="n"/>
      <c r="I45" s="398" t="n"/>
      <c r="J45" s="397" t="n"/>
      <c r="K45" s="397" t="n"/>
    </row>
    <row r="46">
      <c r="A46" s="272" t="inlineStr">
        <is>
          <t>Espresso</t>
        </is>
      </c>
      <c r="B46" s="272" t="inlineStr">
        <is>
          <t>кофе</t>
        </is>
      </c>
      <c r="C46" s="420" t="inlineStr">
        <is>
          <t>18 грм</t>
        </is>
      </c>
      <c r="D46" s="272" t="inlineStr">
        <is>
          <t>Чашка под еспрессо</t>
        </is>
      </c>
      <c r="E46" s="272" t="inlineStr">
        <is>
          <t>Приготовить с помощью</t>
        </is>
      </c>
      <c r="G46" s="397" t="n"/>
      <c r="H46" s="397" t="n"/>
      <c r="I46" s="397" t="n"/>
      <c r="J46" s="397" t="n"/>
      <c r="K46" s="397" t="n"/>
    </row>
    <row r="47">
      <c r="A47" s="272" t="n"/>
      <c r="B47" s="272" t="n"/>
      <c r="C47" s="272" t="n"/>
      <c r="D47" s="272" t="n"/>
      <c r="E47" s="272" t="inlineStr">
        <is>
          <t>кофемашины</t>
        </is>
      </c>
      <c r="G47" s="397" t="n"/>
      <c r="H47" s="397" t="n"/>
      <c r="I47" s="397" t="n"/>
      <c r="J47" s="397" t="n"/>
      <c r="K47" s="397" t="n"/>
    </row>
    <row r="48">
      <c r="A48" s="415" t="inlineStr">
        <is>
          <t>Название</t>
        </is>
      </c>
      <c r="B48" s="415" t="inlineStr">
        <is>
          <t>Ингридиенты</t>
        </is>
      </c>
      <c r="C48" s="415" t="inlineStr">
        <is>
          <t>Кол-во</t>
        </is>
      </c>
      <c r="D48" s="415" t="inlineStr">
        <is>
          <t>Посуда</t>
        </is>
      </c>
      <c r="E48" s="415" t="inlineStr">
        <is>
          <t>Метод</t>
        </is>
      </c>
      <c r="G48" s="397" t="n"/>
      <c r="H48" s="397" t="n"/>
      <c r="I48" s="397" t="n"/>
      <c r="J48" s="397" t="n"/>
      <c r="K48" s="397" t="n"/>
    </row>
    <row r="49">
      <c r="A49" s="272" t="inlineStr">
        <is>
          <t>Doppio espresso</t>
        </is>
      </c>
      <c r="B49" s="272" t="inlineStr">
        <is>
          <t>кофе</t>
        </is>
      </c>
      <c r="C49" s="420" t="inlineStr">
        <is>
          <t>18 грм</t>
        </is>
      </c>
      <c r="D49" s="272" t="inlineStr">
        <is>
          <t>Чашка под американо</t>
        </is>
      </c>
      <c r="E49" s="272" t="inlineStr">
        <is>
          <t>Приготовить с помощью</t>
        </is>
      </c>
      <c r="G49" s="460" t="n"/>
      <c r="H49" s="460" t="n"/>
      <c r="I49" s="460" t="n"/>
      <c r="J49" s="460" t="n"/>
      <c r="K49" s="460" t="n"/>
    </row>
    <row r="50">
      <c r="A50" s="272" t="n"/>
      <c r="B50" s="272" t="n"/>
      <c r="C50" s="272" t="n"/>
      <c r="D50" s="272" t="n"/>
      <c r="E50" s="272" t="inlineStr">
        <is>
          <t>кофемашины</t>
        </is>
      </c>
      <c r="G50" s="417" t="n"/>
      <c r="H50" s="397" t="n"/>
      <c r="I50" s="397" t="n"/>
      <c r="J50" s="397" t="n"/>
      <c r="K50" s="460" t="n"/>
    </row>
    <row r="51">
      <c r="A51" s="415" t="inlineStr">
        <is>
          <t>Название</t>
        </is>
      </c>
      <c r="B51" s="415" t="inlineStr">
        <is>
          <t>Ингридиенты</t>
        </is>
      </c>
      <c r="C51" s="415" t="inlineStr">
        <is>
          <t>Кол-во</t>
        </is>
      </c>
      <c r="D51" s="415" t="inlineStr">
        <is>
          <t>Посуда</t>
        </is>
      </c>
      <c r="E51" s="415" t="inlineStr">
        <is>
          <t>Метод</t>
        </is>
      </c>
      <c r="G51" s="393" t="n"/>
      <c r="H51" s="393" t="n"/>
      <c r="I51" s="393" t="n"/>
      <c r="J51" s="393" t="n"/>
      <c r="K51" s="460" t="n"/>
    </row>
    <row r="52">
      <c r="A52" s="272" t="inlineStr">
        <is>
          <t>Espresso Macchiato</t>
        </is>
      </c>
      <c r="B52" s="272" t="inlineStr">
        <is>
          <t>кофе</t>
        </is>
      </c>
      <c r="C52" s="420" t="inlineStr">
        <is>
          <t>18 грм</t>
        </is>
      </c>
      <c r="D52" s="272" t="inlineStr">
        <is>
          <t>Чашка под еспрессо</t>
        </is>
      </c>
      <c r="E52" s="272" t="inlineStr">
        <is>
          <t>Приготовить с помощью</t>
        </is>
      </c>
      <c r="G52" s="418" t="n"/>
      <c r="H52" s="397" t="n"/>
      <c r="I52" s="398" t="n"/>
      <c r="J52" s="397" t="n"/>
      <c r="K52" s="460" t="n"/>
    </row>
    <row r="53">
      <c r="A53" s="272" t="n"/>
      <c r="B53" s="272" t="inlineStr">
        <is>
          <t>молоко 3,2%</t>
        </is>
      </c>
      <c r="C53" s="420" t="inlineStr">
        <is>
          <t>100 мл</t>
        </is>
      </c>
      <c r="D53" s="272" t="n"/>
      <c r="E53" s="272" t="inlineStr">
        <is>
          <t>кофемашины</t>
        </is>
      </c>
      <c r="G53" s="458" t="n"/>
      <c r="H53" s="397" t="n"/>
      <c r="I53" s="398" t="n"/>
      <c r="J53" s="6" t="n"/>
      <c r="K53" s="460" t="n"/>
    </row>
    <row r="54">
      <c r="A54" s="415" t="inlineStr">
        <is>
          <t>Название</t>
        </is>
      </c>
      <c r="B54" s="415" t="inlineStr">
        <is>
          <t>Ингридиенты</t>
        </is>
      </c>
      <c r="C54" s="415" t="inlineStr">
        <is>
          <t>Кол-во</t>
        </is>
      </c>
      <c r="D54" s="415" t="inlineStr">
        <is>
          <t>Посуда</t>
        </is>
      </c>
      <c r="E54" s="415" t="inlineStr">
        <is>
          <t>Метод</t>
        </is>
      </c>
      <c r="G54" s="6" t="n"/>
      <c r="H54" s="397" t="n"/>
      <c r="I54" s="398" t="n"/>
      <c r="J54" s="6" t="n"/>
      <c r="K54" s="460" t="n"/>
    </row>
    <row r="55">
      <c r="A55" s="272" t="inlineStr">
        <is>
          <t>Americano</t>
        </is>
      </c>
      <c r="B55" s="272" t="inlineStr">
        <is>
          <t>кофе</t>
        </is>
      </c>
      <c r="C55" s="420" t="inlineStr">
        <is>
          <t>18 грм</t>
        </is>
      </c>
      <c r="D55" s="272" t="inlineStr">
        <is>
          <t>Чашка под американо</t>
        </is>
      </c>
      <c r="E55" s="272" t="inlineStr">
        <is>
          <t>Приготовить с помощью</t>
        </is>
      </c>
      <c r="G55" s="6" t="n"/>
      <c r="H55" s="397" t="n"/>
      <c r="I55" s="398" t="n"/>
      <c r="J55" s="6" t="n"/>
      <c r="K55" s="460" t="n"/>
    </row>
    <row r="56">
      <c r="A56" s="272" t="n"/>
      <c r="B56" s="272" t="inlineStr">
        <is>
          <t>кипяток</t>
        </is>
      </c>
      <c r="C56" s="420" t="inlineStr">
        <is>
          <t>100 мл</t>
        </is>
      </c>
      <c r="D56" s="272" t="n"/>
      <c r="E56" s="272" t="inlineStr">
        <is>
          <t>кофемашины</t>
        </is>
      </c>
      <c r="G56" s="6" t="n"/>
      <c r="H56" s="397" t="n"/>
      <c r="I56" s="398" t="n"/>
      <c r="J56" s="6" t="n"/>
      <c r="K56" s="460" t="n"/>
    </row>
    <row r="57">
      <c r="A57" s="415" t="inlineStr">
        <is>
          <t>Название</t>
        </is>
      </c>
      <c r="B57" s="415" t="inlineStr">
        <is>
          <t>Ингридиенты</t>
        </is>
      </c>
      <c r="C57" s="415" t="inlineStr">
        <is>
          <t>Кол-во</t>
        </is>
      </c>
      <c r="D57" s="415" t="inlineStr">
        <is>
          <t>Посуда</t>
        </is>
      </c>
      <c r="E57" s="415" t="inlineStr">
        <is>
          <t>Метод</t>
        </is>
      </c>
      <c r="G57" s="6" t="n"/>
      <c r="H57" s="397" t="n"/>
      <c r="I57" s="398" t="n"/>
      <c r="J57" s="6" t="n"/>
      <c r="K57" s="460" t="n"/>
    </row>
    <row r="58">
      <c r="A58" s="272" t="inlineStr">
        <is>
          <t>Cappuccino</t>
        </is>
      </c>
      <c r="B58" s="272" t="inlineStr">
        <is>
          <t>кофе</t>
        </is>
      </c>
      <c r="C58" s="420" t="inlineStr">
        <is>
          <t>18 грм</t>
        </is>
      </c>
      <c r="D58" s="272" t="inlineStr">
        <is>
          <t>Чашка под капучино</t>
        </is>
      </c>
      <c r="E58" s="272" t="inlineStr">
        <is>
          <t>Приготовить с помощью</t>
        </is>
      </c>
      <c r="G58" s="393" t="n"/>
      <c r="H58" s="393" t="n"/>
      <c r="I58" s="393" t="n"/>
      <c r="J58" s="393" t="n"/>
      <c r="K58" s="460" t="n"/>
    </row>
    <row r="59">
      <c r="A59" s="272" t="n"/>
      <c r="B59" s="272" t="inlineStr">
        <is>
          <t>молоко 3,2%</t>
        </is>
      </c>
      <c r="C59" s="420" t="inlineStr">
        <is>
          <t>200 мл</t>
        </is>
      </c>
      <c r="D59" s="272" t="n"/>
      <c r="E59" s="272" t="inlineStr">
        <is>
          <t xml:space="preserve">кофемашины, взбить </t>
        </is>
      </c>
      <c r="G59" s="418" t="n"/>
      <c r="H59" s="397" t="n"/>
      <c r="I59" s="398" t="n"/>
      <c r="J59" s="397" t="n"/>
      <c r="K59" s="460" t="n"/>
    </row>
    <row r="60">
      <c r="A60" s="272" t="n"/>
      <c r="B60" s="272" t="n"/>
      <c r="C60" s="272" t="n"/>
      <c r="D60" s="272" t="n"/>
      <c r="E60" s="272" t="inlineStr">
        <is>
          <t>молоко форсункой</t>
        </is>
      </c>
      <c r="G60" s="458" t="n"/>
      <c r="H60" s="397" t="n"/>
      <c r="I60" s="398" t="n"/>
      <c r="J60" s="397" t="n"/>
    </row>
    <row r="61">
      <c r="A61" s="415" t="inlineStr">
        <is>
          <t>Название</t>
        </is>
      </c>
      <c r="B61" s="415" t="inlineStr">
        <is>
          <t>Ингридиенты</t>
        </is>
      </c>
      <c r="C61" s="415" t="inlineStr">
        <is>
          <t>Кол-во</t>
        </is>
      </c>
      <c r="D61" s="415" t="inlineStr">
        <is>
          <t>Посуда</t>
        </is>
      </c>
      <c r="E61" s="415" t="inlineStr">
        <is>
          <t>Метод</t>
        </is>
      </c>
      <c r="G61" s="6" t="n"/>
      <c r="H61" s="397" t="n"/>
      <c r="I61" s="398" t="n"/>
      <c r="J61" s="397" t="n"/>
    </row>
    <row r="62">
      <c r="A62" s="272" t="inlineStr">
        <is>
          <t>Flat White</t>
        </is>
      </c>
      <c r="B62" s="272" t="inlineStr">
        <is>
          <t>кофе</t>
        </is>
      </c>
      <c r="C62" s="420" t="inlineStr">
        <is>
          <t>18 грм</t>
        </is>
      </c>
      <c r="D62" s="272" t="inlineStr">
        <is>
          <t>Чашка под американо</t>
        </is>
      </c>
      <c r="E62" s="272" t="inlineStr">
        <is>
          <t>Приготовить с помощью</t>
        </is>
      </c>
      <c r="G62" s="6" t="n"/>
      <c r="H62" s="397" t="n"/>
      <c r="I62" s="398" t="n"/>
      <c r="J62" s="6" t="n"/>
    </row>
    <row r="63">
      <c r="A63" s="272" t="n"/>
      <c r="B63" s="272" t="inlineStr">
        <is>
          <t>молоко 3,2%</t>
        </is>
      </c>
      <c r="C63" s="420" t="inlineStr">
        <is>
          <t>150 мл</t>
        </is>
      </c>
      <c r="D63" s="272" t="n"/>
      <c r="E63" s="272" t="inlineStr">
        <is>
          <t xml:space="preserve">кофемашины, взбить </t>
        </is>
      </c>
      <c r="G63" s="6" t="n"/>
      <c r="H63" s="397" t="n"/>
      <c r="I63" s="398" t="n"/>
      <c r="J63" s="6" t="n"/>
    </row>
    <row r="64">
      <c r="A64" s="272" t="n"/>
      <c r="B64" s="272" t="n"/>
      <c r="C64" s="420" t="n"/>
      <c r="D64" s="272" t="n"/>
      <c r="E64" s="272" t="inlineStr">
        <is>
          <t>молоко форсункой</t>
        </is>
      </c>
      <c r="G64" s="6" t="n"/>
      <c r="H64" s="397" t="n"/>
      <c r="I64" s="398" t="n"/>
      <c r="J64" s="6" t="n"/>
    </row>
    <row r="65">
      <c r="A65" s="415" t="inlineStr">
        <is>
          <t>Название</t>
        </is>
      </c>
      <c r="B65" s="415" t="inlineStr">
        <is>
          <t>Ингридиенты</t>
        </is>
      </c>
      <c r="C65" s="415" t="inlineStr">
        <is>
          <t>Кол-во</t>
        </is>
      </c>
      <c r="D65" s="415" t="inlineStr">
        <is>
          <t>Посуда</t>
        </is>
      </c>
      <c r="E65" s="415" t="inlineStr">
        <is>
          <t>Метод</t>
        </is>
      </c>
      <c r="G65" s="6" t="n"/>
      <c r="H65" s="397" t="n"/>
      <c r="I65" s="398" t="n"/>
      <c r="J65" s="6" t="n"/>
    </row>
    <row r="66">
      <c r="A66" s="272" t="inlineStr">
        <is>
          <t>Double Cappuccino</t>
        </is>
      </c>
      <c r="B66" s="272" t="inlineStr">
        <is>
          <t>кофе</t>
        </is>
      </c>
      <c r="C66" s="420" t="inlineStr">
        <is>
          <t>24 грм</t>
        </is>
      </c>
      <c r="D66" s="272" t="inlineStr">
        <is>
          <t>Чашка под латте</t>
        </is>
      </c>
      <c r="E66" s="272" t="inlineStr">
        <is>
          <t>Приготовить с помощью</t>
        </is>
      </c>
      <c r="G66" s="6" t="n"/>
      <c r="H66" s="397" t="n"/>
      <c r="I66" s="398" t="n"/>
      <c r="J66" s="6" t="n"/>
    </row>
    <row r="67">
      <c r="A67" s="272" t="n"/>
      <c r="B67" s="272" t="inlineStr">
        <is>
          <t>молоко 3,2%</t>
        </is>
      </c>
      <c r="C67" s="420" t="inlineStr">
        <is>
          <t>350 грм</t>
        </is>
      </c>
      <c r="D67" s="272" t="n"/>
      <c r="E67" s="272" t="inlineStr">
        <is>
          <t xml:space="preserve">кофемашины, взбить </t>
        </is>
      </c>
      <c r="G67" s="393" t="n"/>
      <c r="H67" s="393" t="n"/>
      <c r="I67" s="393" t="n"/>
      <c r="J67" s="393" t="n"/>
    </row>
    <row r="68">
      <c r="A68" s="272" t="n"/>
      <c r="B68" s="272" t="n"/>
      <c r="C68" s="420" t="n"/>
      <c r="D68" s="272" t="n"/>
      <c r="E68" s="272" t="inlineStr">
        <is>
          <t>молоко форсункой</t>
        </is>
      </c>
      <c r="G68" s="418" t="n"/>
      <c r="H68" s="397" t="n"/>
      <c r="I68" s="398" t="n"/>
      <c r="J68" s="397" t="n"/>
    </row>
    <row r="69">
      <c r="A69" s="415" t="inlineStr">
        <is>
          <t>Название</t>
        </is>
      </c>
      <c r="B69" s="415" t="inlineStr">
        <is>
          <t>Ингридиенты</t>
        </is>
      </c>
      <c r="C69" s="415" t="inlineStr">
        <is>
          <t>Кол-во</t>
        </is>
      </c>
      <c r="D69" s="415" t="inlineStr">
        <is>
          <t>Посуда</t>
        </is>
      </c>
      <c r="E69" s="415" t="inlineStr">
        <is>
          <t>Метод</t>
        </is>
      </c>
      <c r="G69" s="458" t="n"/>
      <c r="H69" s="397" t="n"/>
      <c r="I69" s="398" t="n"/>
      <c r="J69" s="397" t="n"/>
    </row>
    <row r="70">
      <c r="A70" s="272" t="inlineStr">
        <is>
          <t>Latte</t>
        </is>
      </c>
      <c r="B70" s="272" t="inlineStr">
        <is>
          <t>кофе</t>
        </is>
      </c>
      <c r="C70" s="420" t="inlineStr">
        <is>
          <t>18 грм</t>
        </is>
      </c>
      <c r="D70" s="272" t="inlineStr">
        <is>
          <t>Чашка под латте</t>
        </is>
      </c>
      <c r="E70" s="272" t="inlineStr">
        <is>
          <t>Приготовить с помощью</t>
        </is>
      </c>
      <c r="G70" s="6" t="n"/>
      <c r="H70" s="397" t="n"/>
      <c r="I70" s="398" t="n"/>
      <c r="J70" s="6" t="n"/>
    </row>
    <row r="71">
      <c r="A71" s="272" t="n"/>
      <c r="B71" s="272" t="inlineStr">
        <is>
          <t>молоко 3,2%</t>
        </is>
      </c>
      <c r="C71" s="420" t="inlineStr">
        <is>
          <t>350 мл</t>
        </is>
      </c>
      <c r="D71" s="272" t="n"/>
      <c r="E71" s="272" t="inlineStr">
        <is>
          <t xml:space="preserve">кофемашины, взбить </t>
        </is>
      </c>
      <c r="G71" s="6" t="n"/>
      <c r="H71" s="397" t="n"/>
      <c r="I71" s="398" t="n"/>
      <c r="J71" s="6" t="n"/>
    </row>
    <row r="72">
      <c r="A72" s="272" t="n"/>
      <c r="B72" s="272" t="n"/>
      <c r="C72" s="420" t="n"/>
      <c r="D72" s="272" t="n"/>
      <c r="E72" s="272" t="inlineStr">
        <is>
          <t>молоко форсункой</t>
        </is>
      </c>
      <c r="G72" s="6" t="n"/>
      <c r="H72" s="397" t="n"/>
      <c r="I72" s="398" t="n"/>
      <c r="J72" s="6" t="n"/>
    </row>
    <row r="73">
      <c r="A73" s="415" t="inlineStr">
        <is>
          <t>Название</t>
        </is>
      </c>
      <c r="B73" s="415" t="inlineStr">
        <is>
          <t>Ингридиенты</t>
        </is>
      </c>
      <c r="C73" s="415" t="inlineStr">
        <is>
          <t>Кол-во</t>
        </is>
      </c>
      <c r="D73" s="415" t="inlineStr">
        <is>
          <t>Посуда</t>
        </is>
      </c>
      <c r="E73" s="415" t="inlineStr">
        <is>
          <t>Метод</t>
        </is>
      </c>
      <c r="G73" s="393" t="n"/>
      <c r="H73" s="393" t="n"/>
      <c r="I73" s="393" t="n"/>
      <c r="J73" s="393" t="n"/>
    </row>
    <row r="74">
      <c r="A74" s="272" t="inlineStr">
        <is>
          <t>Raff Vanilla</t>
        </is>
      </c>
      <c r="B74" s="272" t="inlineStr">
        <is>
          <t>кофе</t>
        </is>
      </c>
      <c r="C74" s="420" t="inlineStr">
        <is>
          <t>18 грм</t>
        </is>
      </c>
      <c r="D74" s="272" t="inlineStr">
        <is>
          <t>Чашка под латте</t>
        </is>
      </c>
      <c r="E74" s="272" t="inlineStr">
        <is>
          <t>Приготовить с помощью</t>
        </is>
      </c>
      <c r="G74" s="418" t="n"/>
      <c r="H74" s="408" t="n"/>
      <c r="I74" s="405" t="n"/>
      <c r="J74" s="408" t="n"/>
      <c r="K74" s="423" t="n"/>
    </row>
    <row r="75">
      <c r="A75" s="272" t="n"/>
      <c r="B75" s="272" t="inlineStr">
        <is>
          <t>сливки 11%</t>
        </is>
      </c>
      <c r="C75" s="420" t="inlineStr">
        <is>
          <t>350 мл</t>
        </is>
      </c>
      <c r="D75" s="272" t="n"/>
      <c r="E75" s="272" t="inlineStr">
        <is>
          <t xml:space="preserve">кофемашины, взбить </t>
        </is>
      </c>
      <c r="G75" s="458" t="n"/>
      <c r="H75" s="408" t="n"/>
      <c r="I75" s="405" t="n"/>
      <c r="J75" s="408" t="n"/>
      <c r="K75" s="423" t="n"/>
    </row>
    <row r="76">
      <c r="A76" s="272" t="n"/>
      <c r="B76" s="272" t="inlineStr">
        <is>
          <t>сахар</t>
        </is>
      </c>
      <c r="C76" s="420" t="inlineStr">
        <is>
          <t>15 грм</t>
        </is>
      </c>
      <c r="D76" s="272" t="n"/>
      <c r="E76" s="272" t="inlineStr">
        <is>
          <t>сливки вместе с кофе</t>
        </is>
      </c>
      <c r="G76" s="402" t="n"/>
      <c r="H76" s="408" t="n"/>
      <c r="I76" s="405" t="n"/>
      <c r="J76" s="408" t="n"/>
      <c r="K76" s="423" t="n"/>
    </row>
    <row r="77">
      <c r="A77" s="272" t="n"/>
      <c r="B77" s="272" t="inlineStr">
        <is>
          <t>сахар ванильный</t>
        </is>
      </c>
      <c r="C77" s="420" t="inlineStr">
        <is>
          <t>15 грм</t>
        </is>
      </c>
      <c r="D77" s="272" t="n"/>
      <c r="E77" s="272" t="inlineStr">
        <is>
          <t>форсункой</t>
        </is>
      </c>
      <c r="G77" s="402" t="n"/>
      <c r="H77" s="408" t="n"/>
      <c r="I77" s="405" t="n"/>
      <c r="J77" s="408" t="n"/>
      <c r="K77" s="423" t="n"/>
    </row>
    <row r="78">
      <c r="A78" s="415" t="inlineStr">
        <is>
          <t>Название</t>
        </is>
      </c>
      <c r="B78" s="415" t="inlineStr">
        <is>
          <t>Ингридиенты</t>
        </is>
      </c>
      <c r="C78" s="415" t="inlineStr">
        <is>
          <t>Кол-во</t>
        </is>
      </c>
      <c r="D78" s="415" t="inlineStr">
        <is>
          <t>Посуда</t>
        </is>
      </c>
      <c r="E78" s="415" t="inlineStr">
        <is>
          <t>Метод</t>
        </is>
      </c>
      <c r="G78" s="402" t="n"/>
      <c r="H78" s="408" t="n"/>
      <c r="I78" s="405" t="n"/>
      <c r="J78" s="408" t="n"/>
      <c r="K78" s="423" t="n"/>
    </row>
    <row r="79">
      <c r="A79" s="272" t="inlineStr">
        <is>
          <t>Mocachino</t>
        </is>
      </c>
      <c r="B79" s="272" t="inlineStr">
        <is>
          <t>кофе</t>
        </is>
      </c>
      <c r="C79" s="420" t="inlineStr">
        <is>
          <t>18 грм</t>
        </is>
      </c>
      <c r="D79" s="272" t="inlineStr">
        <is>
          <t>Чашка под латте</t>
        </is>
      </c>
      <c r="E79" s="272" t="inlineStr">
        <is>
          <t>Приготовить с помощью</t>
        </is>
      </c>
      <c r="G79" s="402" t="n"/>
      <c r="H79" s="408" t="n"/>
      <c r="I79" s="405" t="n"/>
      <c r="J79" s="408" t="n"/>
      <c r="K79" s="423" t="n"/>
    </row>
    <row r="80">
      <c r="A80" s="272" t="n"/>
      <c r="B80" s="272" t="inlineStr">
        <is>
          <t>какао</t>
        </is>
      </c>
      <c r="C80" s="420" t="inlineStr">
        <is>
          <t>10 грм</t>
        </is>
      </c>
      <c r="D80" s="272" t="n"/>
      <c r="E80" s="272" t="inlineStr">
        <is>
          <t xml:space="preserve">кофемашины, взбить </t>
        </is>
      </c>
      <c r="G80" s="402" t="n"/>
      <c r="H80" s="408" t="n"/>
      <c r="I80" s="405" t="n"/>
      <c r="J80" s="408" t="n"/>
      <c r="K80" s="423" t="n"/>
    </row>
    <row r="81">
      <c r="A81" s="272" t="n"/>
      <c r="B81" s="272" t="inlineStr">
        <is>
          <t>молоко</t>
        </is>
      </c>
      <c r="C81" s="420" t="inlineStr">
        <is>
          <t>350 мл</t>
        </is>
      </c>
      <c r="D81" s="272" t="n"/>
      <c r="E81" s="272" t="inlineStr">
        <is>
          <t>ингридиенты форсункой</t>
        </is>
      </c>
      <c r="G81" s="402" t="n"/>
      <c r="H81" s="408" t="n"/>
      <c r="I81" s="405" t="n"/>
      <c r="J81" s="408" t="n"/>
      <c r="K81" s="423" t="n"/>
    </row>
    <row r="82">
      <c r="A82" s="272" t="n"/>
      <c r="B82" s="272" t="inlineStr">
        <is>
          <t>сахар</t>
        </is>
      </c>
      <c r="C82" s="420" t="inlineStr">
        <is>
          <t>15 грм</t>
        </is>
      </c>
      <c r="D82" s="272" t="n"/>
      <c r="E82" s="272" t="n"/>
      <c r="G82" s="393" t="n"/>
      <c r="H82" s="393" t="n"/>
      <c r="I82" s="393" t="n"/>
      <c r="J82" s="393" t="n"/>
    </row>
    <row r="83">
      <c r="A83" s="415" t="inlineStr">
        <is>
          <t>Название</t>
        </is>
      </c>
      <c r="B83" s="415" t="inlineStr">
        <is>
          <t>Ингридиенты</t>
        </is>
      </c>
      <c r="C83" s="415" t="inlineStr">
        <is>
          <t>Кол-во</t>
        </is>
      </c>
      <c r="D83" s="415" t="inlineStr">
        <is>
          <t>Посуда</t>
        </is>
      </c>
      <c r="E83" s="415" t="inlineStr">
        <is>
          <t>Метод</t>
        </is>
      </c>
      <c r="G83" s="418" t="n"/>
      <c r="H83" s="408" t="n"/>
      <c r="I83" s="405" t="n"/>
      <c r="J83" s="408" t="n"/>
    </row>
    <row r="84">
      <c r="A84" s="272" t="inlineStr">
        <is>
          <t>Cacao</t>
        </is>
      </c>
      <c r="B84" s="272" t="inlineStr">
        <is>
          <t>какао</t>
        </is>
      </c>
      <c r="C84" s="420" t="inlineStr">
        <is>
          <t>25 грм</t>
        </is>
      </c>
      <c r="D84" s="272" t="inlineStr">
        <is>
          <t>Чашка ( прозрачная )</t>
        </is>
      </c>
      <c r="E84" s="272" t="inlineStr">
        <is>
          <t>Добавить ингридиенты</t>
        </is>
      </c>
      <c r="G84" s="458" t="n"/>
      <c r="H84" s="408" t="n"/>
      <c r="I84" s="405" t="n"/>
      <c r="J84" s="408" t="n"/>
    </row>
    <row r="85">
      <c r="A85" s="272" t="n"/>
      <c r="B85" s="272" t="inlineStr">
        <is>
          <t>сироп сахар</t>
        </is>
      </c>
      <c r="C85" s="420" t="inlineStr">
        <is>
          <t>10 мл</t>
        </is>
      </c>
      <c r="D85" s="272" t="n"/>
      <c r="E85" s="272" t="inlineStr">
        <is>
          <t>в питчер, перемешать</t>
        </is>
      </c>
      <c r="G85" s="402" t="n"/>
      <c r="H85" s="408" t="n"/>
      <c r="I85" s="405" t="n"/>
      <c r="J85" s="408" t="n"/>
    </row>
    <row r="86">
      <c r="A86" s="272" t="n"/>
      <c r="B86" s="272" t="inlineStr">
        <is>
          <t>молоко 3,2%</t>
        </is>
      </c>
      <c r="C86" s="420" t="inlineStr">
        <is>
          <t>350 мл</t>
        </is>
      </c>
      <c r="D86" s="272" t="n"/>
      <c r="E86" s="272" t="inlineStr">
        <is>
          <t>ложкой до однородной массы</t>
        </is>
      </c>
      <c r="G86" s="402" t="n"/>
      <c r="H86" s="408" t="n"/>
      <c r="I86" s="405" t="n"/>
      <c r="J86" s="408" t="n"/>
    </row>
    <row r="87">
      <c r="A87" s="272" t="n"/>
      <c r="B87" s="272" t="n"/>
      <c r="C87" s="272" t="n"/>
      <c r="D87" s="272" t="n"/>
      <c r="E87" s="272" t="inlineStr">
        <is>
          <t>взбить форсункой</t>
        </is>
      </c>
      <c r="G87" s="402" t="n"/>
      <c r="H87" s="408" t="n"/>
      <c r="I87" s="405" t="n"/>
      <c r="J87" s="408" t="n"/>
    </row>
    <row r="88">
      <c r="A88" s="415" t="inlineStr">
        <is>
          <t>Название</t>
        </is>
      </c>
      <c r="B88" s="415" t="inlineStr">
        <is>
          <t>Ингридиенты</t>
        </is>
      </c>
      <c r="C88" s="415" t="inlineStr">
        <is>
          <t>Кол-во</t>
        </is>
      </c>
      <c r="D88" s="415" t="inlineStr">
        <is>
          <t>Посуда</t>
        </is>
      </c>
      <c r="E88" s="415" t="inlineStr">
        <is>
          <t>Метод</t>
        </is>
      </c>
      <c r="G88" s="402" t="n"/>
      <c r="H88" s="408" t="n"/>
      <c r="I88" s="405" t="n"/>
      <c r="J88" s="408" t="n"/>
    </row>
    <row r="89">
      <c r="A89" s="272" t="inlineStr">
        <is>
          <t>Chocolate</t>
        </is>
      </c>
      <c r="B89" s="272" t="inlineStr">
        <is>
          <t>шоколад ( галеты )</t>
        </is>
      </c>
      <c r="C89" s="420" t="inlineStr">
        <is>
          <t>60 грм</t>
        </is>
      </c>
      <c r="D89" s="272" t="inlineStr">
        <is>
          <t>Чашка под капучино</t>
        </is>
      </c>
      <c r="E89" s="272" t="inlineStr">
        <is>
          <t>Добавить в питчер галеты</t>
        </is>
      </c>
      <c r="G89" s="402" t="n"/>
      <c r="H89" s="408" t="n"/>
      <c r="I89" s="405" t="n"/>
      <c r="J89" s="408" t="n"/>
    </row>
    <row r="90">
      <c r="A90" s="272" t="n"/>
      <c r="B90" s="272" t="inlineStr">
        <is>
          <t>сливки 11%</t>
        </is>
      </c>
      <c r="C90" s="420" t="inlineStr">
        <is>
          <t>90 мл</t>
        </is>
      </c>
      <c r="D90" s="272" t="n"/>
      <c r="E90" s="272" t="inlineStr">
        <is>
          <t>налить ( тудаже ) кипяток ( 20-30 мл )</t>
        </is>
      </c>
      <c r="G90" s="402" t="n"/>
      <c r="H90" s="408" t="n"/>
      <c r="I90" s="405" t="n"/>
      <c r="J90" s="408" t="n"/>
    </row>
    <row r="91">
      <c r="A91" s="272" t="n"/>
      <c r="B91" s="272" t="n"/>
      <c r="C91" s="272" t="n"/>
      <c r="D91" s="272" t="n"/>
      <c r="E91" s="272" t="inlineStr">
        <is>
          <t>немного растворить галеты ( перемешивая )</t>
        </is>
      </c>
    </row>
    <row r="92">
      <c r="A92" s="272" t="n"/>
      <c r="B92" s="272" t="n"/>
      <c r="C92" s="272" t="n"/>
      <c r="D92" s="272" t="n"/>
      <c r="E92" s="272" t="inlineStr">
        <is>
          <t xml:space="preserve">слить кипяток, добавить сливки, </t>
        </is>
      </c>
    </row>
    <row r="93">
      <c r="A93" s="272" t="n"/>
      <c r="B93" s="272" t="n"/>
      <c r="C93" s="272" t="n"/>
      <c r="D93" s="272" t="n"/>
      <c r="E93" s="272" t="inlineStr">
        <is>
          <t>смешать до однородного состояния,</t>
        </is>
      </c>
    </row>
    <row r="94">
      <c r="A94" s="272" t="n"/>
      <c r="B94" s="272" t="n"/>
      <c r="C94" s="272" t="n"/>
      <c r="D94" s="272" t="n"/>
      <c r="E94" s="272" t="inlineStr">
        <is>
          <t>взбить форсункой</t>
        </is>
      </c>
    </row>
    <row r="95">
      <c r="A95" s="269" t="inlineStr">
        <is>
          <t>Название</t>
        </is>
      </c>
      <c r="B95" s="499" t="inlineStr">
        <is>
          <t>Ингридиенты</t>
        </is>
      </c>
      <c r="C95" s="499" t="inlineStr">
        <is>
          <t>Кол-во</t>
        </is>
      </c>
      <c r="D95" s="499" t="inlineStr">
        <is>
          <t>Посуда</t>
        </is>
      </c>
      <c r="E95" s="499" t="inlineStr">
        <is>
          <t>Метод</t>
        </is>
      </c>
    </row>
    <row r="96">
      <c r="A96" s="406" t="inlineStr">
        <is>
          <t>Эспрессо - тоник</t>
        </is>
      </c>
      <c r="B96" s="426" t="inlineStr">
        <is>
          <t xml:space="preserve">кофе </t>
        </is>
      </c>
      <c r="C96" s="427" t="inlineStr">
        <is>
          <t>18 грм</t>
        </is>
      </c>
      <c r="D96" s="328" t="inlineStr">
        <is>
          <t>хайбол</t>
        </is>
      </c>
      <c r="E96" s="328" t="inlineStr">
        <is>
          <t>билд</t>
        </is>
      </c>
    </row>
    <row r="97">
      <c r="A97" s="406" t="n"/>
      <c r="B97" s="426" t="inlineStr">
        <is>
          <t>тоник rich</t>
        </is>
      </c>
      <c r="C97" s="427" t="inlineStr">
        <is>
          <t>1 шт</t>
        </is>
      </c>
      <c r="D97" s="426" t="n"/>
      <c r="E97" s="426" t="n"/>
    </row>
    <row r="98">
      <c r="A98" s="326" t="inlineStr">
        <is>
          <t>Название</t>
        </is>
      </c>
      <c r="B98" s="506" t="inlineStr">
        <is>
          <t>Ингридиенты</t>
        </is>
      </c>
      <c r="C98" s="506" t="inlineStr">
        <is>
          <t>Кол-во</t>
        </is>
      </c>
      <c r="D98" s="506" t="inlineStr">
        <is>
          <t>Посуда</t>
        </is>
      </c>
      <c r="E98" s="506" t="inlineStr">
        <is>
          <t>Метод</t>
        </is>
      </c>
    </row>
    <row r="99">
      <c r="A99" s="406" t="inlineStr">
        <is>
          <t>Бамбл</t>
        </is>
      </c>
      <c r="B99" s="426" t="inlineStr">
        <is>
          <t xml:space="preserve">кофе </t>
        </is>
      </c>
      <c r="C99" s="427" t="inlineStr">
        <is>
          <t>18 грм</t>
        </is>
      </c>
      <c r="D99" s="328" t="inlineStr">
        <is>
          <t>хайбол</t>
        </is>
      </c>
      <c r="E99" s="328" t="inlineStr">
        <is>
          <t>билд</t>
        </is>
      </c>
    </row>
    <row r="100">
      <c r="A100" s="406" t="n"/>
      <c r="B100" s="426" t="inlineStr">
        <is>
          <t>апельсиновый фреш</t>
        </is>
      </c>
      <c r="C100" s="427" t="inlineStr">
        <is>
          <t xml:space="preserve"> 200 мл</t>
        </is>
      </c>
      <c r="D100" s="426" t="n"/>
      <c r="E100" s="426" t="n"/>
    </row>
    <row r="101">
      <c r="A101" s="326" t="inlineStr">
        <is>
          <t>Название</t>
        </is>
      </c>
      <c r="B101" s="506" t="inlineStr">
        <is>
          <t>Ингридиенты</t>
        </is>
      </c>
      <c r="C101" s="506" t="inlineStr">
        <is>
          <t>Кол-во</t>
        </is>
      </c>
      <c r="D101" s="506" t="inlineStr">
        <is>
          <t>Посуда</t>
        </is>
      </c>
      <c r="E101" s="506" t="inlineStr">
        <is>
          <t>Метод</t>
        </is>
      </c>
    </row>
    <row r="102">
      <c r="A102" s="406" t="inlineStr">
        <is>
          <t>Айс - латте</t>
        </is>
      </c>
      <c r="B102" s="426" t="inlineStr">
        <is>
          <t xml:space="preserve">кофе </t>
        </is>
      </c>
      <c r="C102" s="427" t="inlineStr">
        <is>
          <t>18 грм</t>
        </is>
      </c>
      <c r="D102" s="328" t="inlineStr">
        <is>
          <t>хайбол</t>
        </is>
      </c>
      <c r="E102" s="328" t="inlineStr">
        <is>
          <t>билд/шейк</t>
        </is>
      </c>
    </row>
    <row r="103">
      <c r="A103" s="406" t="n"/>
      <c r="B103" s="426" t="inlineStr">
        <is>
          <t>молоко 3,2%</t>
        </is>
      </c>
      <c r="C103" s="427" t="inlineStr">
        <is>
          <t>350 мл</t>
        </is>
      </c>
      <c r="D103" s="426" t="n"/>
      <c r="E103" s="426" t="n"/>
    </row>
    <row r="104">
      <c r="A104" s="326" t="inlineStr">
        <is>
          <t>Название</t>
        </is>
      </c>
      <c r="B104" s="506" t="inlineStr">
        <is>
          <t>Ингридиенты</t>
        </is>
      </c>
      <c r="C104" s="506" t="inlineStr">
        <is>
          <t>Кол-во</t>
        </is>
      </c>
      <c r="D104" s="506" t="inlineStr">
        <is>
          <t>Посуда</t>
        </is>
      </c>
      <c r="E104" s="506" t="inlineStr">
        <is>
          <t>Метод</t>
        </is>
      </c>
    </row>
    <row r="105">
      <c r="A105" s="406" t="inlineStr">
        <is>
          <t>Матча - латте</t>
        </is>
      </c>
      <c r="B105" s="426" t="inlineStr">
        <is>
          <t>чай матча</t>
        </is>
      </c>
      <c r="C105" s="427" t="inlineStr">
        <is>
          <t>4 грм</t>
        </is>
      </c>
      <c r="D105" s="328" t="inlineStr">
        <is>
          <t>хайбол</t>
        </is>
      </c>
      <c r="E105" s="426" t="inlineStr">
        <is>
          <t>Приготовить с помощью</t>
        </is>
      </c>
    </row>
    <row r="106">
      <c r="A106" s="406" t="n"/>
      <c r="B106" s="426" t="inlineStr">
        <is>
          <t>молоко 3,2%</t>
        </is>
      </c>
      <c r="C106" s="427" t="inlineStr">
        <is>
          <t>350 мл</t>
        </is>
      </c>
      <c r="D106" s="426" t="n"/>
      <c r="E106" s="426" t="inlineStr">
        <is>
          <t xml:space="preserve">кофемашины, взбить </t>
        </is>
      </c>
    </row>
    <row r="107">
      <c r="A107" s="406" t="n"/>
      <c r="B107" s="426" t="n"/>
      <c r="C107" s="426" t="n"/>
      <c r="D107" s="426" t="n"/>
      <c r="E107" s="426" t="inlineStr">
        <is>
          <t>молоко форсункой</t>
        </is>
      </c>
    </row>
    <row r="108"/>
    <row r="109">
      <c r="A109" s="414" t="inlineStr">
        <is>
          <t>Сезонный чай:</t>
        </is>
      </c>
    </row>
    <row r="110">
      <c r="A110" s="430" t="inlineStr">
        <is>
          <t>Название</t>
        </is>
      </c>
      <c r="B110" s="430" t="inlineStr">
        <is>
          <t>Ингридиенты</t>
        </is>
      </c>
      <c r="C110" s="430" t="inlineStr">
        <is>
          <t>Кол-во</t>
        </is>
      </c>
      <c r="D110" s="430" t="inlineStr">
        <is>
          <t>Гарнир</t>
        </is>
      </c>
      <c r="E110" s="430" t="inlineStr">
        <is>
          <t>Метод</t>
        </is>
      </c>
    </row>
    <row r="111">
      <c r="A111" s="411" t="inlineStr">
        <is>
          <t>Double Damage tea</t>
        </is>
      </c>
      <c r="B111" s="411" t="inlineStr">
        <is>
          <t>ПФ Жасмин</t>
        </is>
      </c>
      <c r="C111" s="431" t="inlineStr">
        <is>
          <t>0,4 мл</t>
        </is>
      </c>
      <c r="D111" s="282" t="inlineStr">
        <is>
          <t>Лайм ( 5 слайсов )</t>
        </is>
      </c>
      <c r="E111" s="411" t="inlineStr">
        <is>
          <t>Смешать все ингридиенты в графине под</t>
        </is>
      </c>
    </row>
    <row r="112">
      <c r="A112" s="411" t="n"/>
      <c r="B112" s="411" t="inlineStr">
        <is>
          <t xml:space="preserve">Сироп сахар </t>
        </is>
      </c>
      <c r="C112" s="431" t="inlineStr">
        <is>
          <t>100 мл</t>
        </is>
      </c>
      <c r="D112" s="282" t="inlineStr">
        <is>
          <t>Апельсин ( 5 слайсов )</t>
        </is>
      </c>
      <c r="E112" s="411" t="inlineStr">
        <is>
          <t>лимонады, добавить лёд, все украсить и</t>
        </is>
      </c>
    </row>
    <row r="113">
      <c r="A113" s="411" t="n"/>
      <c r="B113" s="411" t="inlineStr">
        <is>
          <t>Пюре каламнси</t>
        </is>
      </c>
      <c r="C113" s="431" t="inlineStr">
        <is>
          <t>50 мл</t>
        </is>
      </c>
      <c r="D113" s="282" t="inlineStr">
        <is>
          <t xml:space="preserve">Грейпфрут ( 5 слайсов ) </t>
        </is>
      </c>
      <c r="E113" s="411" t="inlineStr">
        <is>
          <t>перемешать.</t>
        </is>
      </c>
    </row>
    <row r="114">
      <c r="A114" s="411" t="n"/>
      <c r="B114" s="411" t="inlineStr">
        <is>
          <t>Фреш лимон</t>
        </is>
      </c>
      <c r="C114" s="431" t="inlineStr">
        <is>
          <t>30 мл</t>
        </is>
      </c>
      <c r="D114" s="44" t="n"/>
      <c r="E114" s="411" t="n"/>
    </row>
    <row r="115">
      <c r="A115" s="411" t="n"/>
      <c r="B115" s="411" t="inlineStr">
        <is>
          <t>Лайм</t>
        </is>
      </c>
      <c r="C115" s="431" t="inlineStr">
        <is>
          <t>5 слайсов</t>
        </is>
      </c>
      <c r="D115" s="44" t="n"/>
      <c r="E115" s="411" t="n"/>
    </row>
    <row r="116">
      <c r="A116" s="411" t="n"/>
      <c r="B116" s="411" t="inlineStr">
        <is>
          <t>Апельсина</t>
        </is>
      </c>
      <c r="C116" s="431" t="inlineStr">
        <is>
          <t>5 слайсов</t>
        </is>
      </c>
      <c r="D116" s="44" t="n"/>
      <c r="E116" s="411" t="n"/>
    </row>
    <row r="117">
      <c r="A117" s="411" t="n"/>
      <c r="B117" s="411" t="inlineStr">
        <is>
          <t>Грейпфрут</t>
        </is>
      </c>
      <c r="C117" s="431" t="inlineStr">
        <is>
          <t>5 слайсов</t>
        </is>
      </c>
      <c r="D117" s="44" t="n"/>
      <c r="E117" s="411" t="n"/>
    </row>
    <row r="118">
      <c r="A118" s="430" t="inlineStr">
        <is>
          <t>Название</t>
        </is>
      </c>
      <c r="B118" s="430" t="inlineStr">
        <is>
          <t>Ингридиенты</t>
        </is>
      </c>
      <c r="C118" s="430" t="inlineStr">
        <is>
          <t>Кол-во</t>
        </is>
      </c>
      <c r="D118" s="430" t="inlineStr">
        <is>
          <t>Гарнир</t>
        </is>
      </c>
      <c r="E118" s="430" t="inlineStr">
        <is>
          <t>Метод</t>
        </is>
      </c>
    </row>
    <row r="119">
      <c r="A119" s="58" t="inlineStr">
        <is>
          <t>Arcane tea</t>
        </is>
      </c>
      <c r="B119" s="439" t="inlineStr">
        <is>
          <t>ПФ пуэр ( красный лес 2016 )</t>
        </is>
      </c>
      <c r="C119" s="438" t="inlineStr">
        <is>
          <t>0,35 мл</t>
        </is>
      </c>
      <c r="D119" s="439" t="inlineStr">
        <is>
          <t>Черешня  10 шт ( половинки )</t>
        </is>
      </c>
      <c r="E119" s="439" t="inlineStr">
        <is>
          <t xml:space="preserve">В графин ( под воду ) закидываем </t>
        </is>
      </c>
    </row>
    <row r="120">
      <c r="A120" s="136" t="n"/>
      <c r="B120" s="259" t="inlineStr">
        <is>
          <t>Сироп сахар ( эфир лайм )</t>
        </is>
      </c>
      <c r="C120" s="441" t="inlineStr">
        <is>
          <t>100 мл</t>
        </is>
      </c>
      <c r="D120" s="259" t="inlineStr">
        <is>
          <t>Клубника 10 шт ( слайсы )</t>
        </is>
      </c>
      <c r="E120" s="259" t="inlineStr">
        <is>
          <t xml:space="preserve">3 глыбы 5х6. затем заливаем все </t>
        </is>
      </c>
    </row>
    <row r="121">
      <c r="A121" s="136" t="n"/>
      <c r="B121" s="259" t="inlineStr">
        <is>
          <t>Гранатовый сок</t>
        </is>
      </c>
      <c r="C121" s="441" t="inlineStr">
        <is>
          <t>150 мл</t>
        </is>
      </c>
      <c r="D121" s="440" t="n"/>
      <c r="E121" s="259" t="inlineStr">
        <is>
          <t>ингридиенты. Очень важно отделить</t>
        </is>
      </c>
    </row>
    <row r="122">
      <c r="A122" s="136" t="n"/>
      <c r="B122" s="259" t="inlineStr">
        <is>
          <t>Черешня</t>
        </is>
      </c>
      <c r="C122" s="441" t="inlineStr">
        <is>
          <t>10 штук</t>
        </is>
      </c>
      <c r="D122" s="440" t="n"/>
      <c r="E122" s="259" t="inlineStr">
        <is>
          <t>косточки в черешне и промадлить вместе</t>
        </is>
      </c>
    </row>
    <row r="123">
      <c r="A123" s="136" t="n"/>
      <c r="B123" s="259" t="inlineStr">
        <is>
          <t>Клубника</t>
        </is>
      </c>
      <c r="C123" s="441" t="inlineStr">
        <is>
          <t>6 штук</t>
        </is>
      </c>
      <c r="D123" s="440" t="n"/>
      <c r="E123" s="259" t="inlineStr">
        <is>
          <t>с клубникой, залив это дело 150 мл ПФ</t>
        </is>
      </c>
    </row>
    <row r="124">
      <c r="A124" s="136" t="n"/>
      <c r="B124" s="440" t="n"/>
      <c r="C124" s="440" t="n"/>
      <c r="D124" s="440" t="n"/>
      <c r="E124" s="259" t="inlineStr">
        <is>
          <t>пуэр ( красный лес 2016 ). Мадлить лучьше</t>
        </is>
      </c>
    </row>
    <row r="125">
      <c r="A125" s="136" t="n"/>
      <c r="B125" s="440" t="n"/>
      <c r="C125" s="440" t="n"/>
      <c r="D125" s="440" t="n"/>
      <c r="E125" s="259" t="inlineStr">
        <is>
          <t>всего в смесительном стакане и потом</t>
        </is>
      </c>
    </row>
    <row r="126">
      <c r="A126" s="136" t="n"/>
      <c r="B126" s="440" t="n"/>
      <c r="C126" s="440" t="n"/>
      <c r="D126" s="440" t="n"/>
      <c r="E126" s="259" t="inlineStr">
        <is>
          <t>обязательно профайнить и перелить</t>
        </is>
      </c>
    </row>
    <row r="127">
      <c r="A127" s="136" t="n"/>
      <c r="B127" s="440" t="n"/>
      <c r="C127" s="440" t="n"/>
      <c r="D127" s="440" t="n"/>
      <c r="E127" s="259" t="inlineStr">
        <is>
          <t>в графин с нашим чаем. Мадлим черешню</t>
        </is>
      </c>
    </row>
    <row r="128">
      <c r="A128" s="136" t="n"/>
      <c r="B128" s="440" t="n"/>
      <c r="C128" s="440" t="n"/>
      <c r="D128" s="440" t="n"/>
      <c r="E128" s="259" t="inlineStr">
        <is>
          <t xml:space="preserve"> 5 штук, клубнику 3 штуки ( клубниуку </t>
        </is>
      </c>
    </row>
    <row r="129">
      <c r="A129" s="136" t="n"/>
      <c r="B129" s="440" t="n"/>
      <c r="C129" s="440" t="n"/>
      <c r="D129" s="440" t="n"/>
      <c r="E129" s="259" t="inlineStr">
        <is>
          <t>нарезать )</t>
        </is>
      </c>
    </row>
    <row r="130">
      <c r="A130" s="136" t="n"/>
      <c r="B130" s="440" t="n"/>
      <c r="C130" s="440" t="n"/>
      <c r="D130" s="440" t="n"/>
      <c r="E130" s="259" t="n"/>
    </row>
    <row r="131">
      <c r="A131" s="136" t="n"/>
      <c r="B131" s="440" t="n"/>
      <c r="C131" s="440" t="n"/>
      <c r="D131" s="440" t="n"/>
      <c r="E131" s="58" t="inlineStr">
        <is>
          <t>закладка на пф - 10 грм чая ( 10 мин</t>
        </is>
      </c>
    </row>
    <row r="132">
      <c r="A132" s="136" t="n"/>
      <c r="B132" s="440" t="n"/>
      <c r="C132" s="440" t="n"/>
      <c r="D132" s="440" t="n"/>
      <c r="E132" s="58" t="inlineStr">
        <is>
          <t xml:space="preserve">завариваем, затем охлаждаем в </t>
        </is>
      </c>
    </row>
    <row r="133">
      <c r="A133" s="136" t="n"/>
      <c r="B133" s="440" t="n"/>
      <c r="C133" s="440" t="n"/>
      <c r="D133" s="440" t="n"/>
      <c r="E133" s="58" t="inlineStr">
        <is>
          <t>холодильнике, отделив чай от заварки.</t>
        </is>
      </c>
    </row>
    <row r="134">
      <c r="A134" s="430" t="inlineStr">
        <is>
          <t>Название</t>
        </is>
      </c>
      <c r="B134" s="430" t="inlineStr">
        <is>
          <t>Ингридиенты</t>
        </is>
      </c>
      <c r="C134" s="430" t="inlineStr">
        <is>
          <t>Кол-во</t>
        </is>
      </c>
      <c r="D134" s="430" t="inlineStr">
        <is>
          <t>Гарнир</t>
        </is>
      </c>
      <c r="E134" s="430" t="inlineStr">
        <is>
          <t>Метод</t>
        </is>
      </c>
    </row>
    <row r="135">
      <c r="A135" s="411" t="inlineStr">
        <is>
          <t>Regeneration tea</t>
        </is>
      </c>
      <c r="B135" s="411" t="inlineStr">
        <is>
          <t>ПФ Лунцзин</t>
        </is>
      </c>
      <c r="C135" s="431" t="inlineStr">
        <is>
          <t>0,3 мл</t>
        </is>
      </c>
      <c r="D135" s="411" t="inlineStr">
        <is>
          <t>Личи ( 4 ) порезать на четверти</t>
        </is>
      </c>
      <c r="E135" s="58" t="inlineStr">
        <is>
          <t xml:space="preserve">В графин ( под воду ) закидываем </t>
        </is>
      </c>
    </row>
    <row r="136">
      <c r="A136" s="411" t="n"/>
      <c r="B136" s="411" t="inlineStr">
        <is>
          <t>ПФ дыня</t>
        </is>
      </c>
      <c r="C136" s="431" t="inlineStr">
        <is>
          <t>100 мл</t>
        </is>
      </c>
      <c r="D136" s="411" t="inlineStr">
        <is>
          <t>Дыня полусферами ( 5 шт )</t>
        </is>
      </c>
      <c r="E136" s="58" t="inlineStr">
        <is>
          <t xml:space="preserve">3 глыбы 5х6. затем заливаем все </t>
        </is>
      </c>
    </row>
    <row r="137">
      <c r="A137" s="411" t="n"/>
      <c r="B137" s="411" t="inlineStr">
        <is>
          <t>Сироп сахар ( эфир лайм )</t>
        </is>
      </c>
      <c r="C137" s="431" t="inlineStr">
        <is>
          <t>100 мл</t>
        </is>
      </c>
      <c r="D137" s="411" t="inlineStr">
        <is>
          <t>Арбуз полусферами ( 5 шт )</t>
        </is>
      </c>
      <c r="E137" s="58" t="inlineStr">
        <is>
          <t xml:space="preserve">ингридиенты. Добавляем полусферы дыни </t>
        </is>
      </c>
    </row>
    <row r="138">
      <c r="A138" s="411" t="n"/>
      <c r="B138" s="411" t="inlineStr">
        <is>
          <t>Фреш арбуз</t>
        </is>
      </c>
      <c r="C138" s="431" t="inlineStr">
        <is>
          <t>100 мл</t>
        </is>
      </c>
      <c r="D138" s="411" t="n"/>
      <c r="E138" s="411" t="inlineStr">
        <is>
          <t>и арбуза, режем личи на четверти, ничего</t>
        </is>
      </c>
    </row>
    <row r="139">
      <c r="A139" s="411" t="n"/>
      <c r="B139" s="411" t="inlineStr">
        <is>
          <t xml:space="preserve">Дыня </t>
        </is>
      </c>
      <c r="C139" s="431" t="inlineStr">
        <is>
          <t>5  полусфер</t>
        </is>
      </c>
      <c r="D139" s="411" t="n"/>
      <c r="E139" s="411" t="inlineStr">
        <is>
          <t>не мадлим, просто всё смешиваем в графине</t>
        </is>
      </c>
    </row>
    <row r="140">
      <c r="A140" s="411" t="n"/>
      <c r="B140" s="411" t="inlineStr">
        <is>
          <t>Арбуз</t>
        </is>
      </c>
      <c r="C140" s="431" t="inlineStr">
        <is>
          <t>5 полусфер</t>
        </is>
      </c>
      <c r="D140" s="411" t="n"/>
      <c r="E140" s="411" t="inlineStr">
        <is>
          <t>и перемешиваем ложкой.</t>
        </is>
      </c>
    </row>
    <row r="141">
      <c r="A141" s="58" t="n"/>
      <c r="B141" s="58" t="inlineStr">
        <is>
          <t>Личи консервированный</t>
        </is>
      </c>
      <c r="C141" s="442" t="inlineStr">
        <is>
          <t>5 шт</t>
        </is>
      </c>
      <c r="D141" s="58" t="n"/>
      <c r="E141" s="58" t="n"/>
    </row>
    <row r="142">
      <c r="A142" s="58" t="n"/>
      <c r="B142" s="58" t="n"/>
      <c r="C142" s="58" t="n"/>
      <c r="D142" s="58" t="n"/>
      <c r="E142" s="58" t="inlineStr">
        <is>
          <t>закладка на пф - 10 грм чая ( 10 мин</t>
        </is>
      </c>
    </row>
    <row r="143">
      <c r="A143" s="58" t="n"/>
      <c r="B143" s="58" t="n"/>
      <c r="C143" s="58" t="n"/>
      <c r="D143" s="58" t="n"/>
      <c r="E143" s="58" t="inlineStr">
        <is>
          <t xml:space="preserve">завариваем, затем охлаждаем в </t>
        </is>
      </c>
    </row>
    <row r="144">
      <c r="A144" s="58" t="n"/>
      <c r="B144" s="58" t="n"/>
      <c r="C144" s="58" t="n"/>
      <c r="D144" s="58" t="n"/>
      <c r="E144" s="58" t="inlineStr">
        <is>
          <t>холодильнике, отделив чай от заварки.</t>
        </is>
      </c>
    </row>
    <row r="145">
      <c r="A145" s="414" t="inlineStr">
        <is>
          <t>Сезонный чай 2:</t>
        </is>
      </c>
    </row>
    <row r="146">
      <c r="A146" s="430" t="inlineStr">
        <is>
          <t>Название</t>
        </is>
      </c>
      <c r="B146" s="430" t="inlineStr">
        <is>
          <t>Ингридиенты</t>
        </is>
      </c>
      <c r="C146" s="430" t="inlineStr">
        <is>
          <t>Кол-во</t>
        </is>
      </c>
      <c r="D146" s="430" t="inlineStr">
        <is>
          <t>Гарнир</t>
        </is>
      </c>
      <c r="E146" s="430" t="inlineStr">
        <is>
          <t>Метод</t>
        </is>
      </c>
    </row>
    <row r="147">
      <c r="A147" s="411" t="inlineStr">
        <is>
          <t>Radiant</t>
        </is>
      </c>
      <c r="B147" s="411" t="inlineStr">
        <is>
          <t>ПФ белый чай ( китайский )</t>
        </is>
      </c>
      <c r="C147" s="411" t="inlineStr">
        <is>
          <t>500 мл</t>
        </is>
      </c>
      <c r="D147" s="411" t="inlineStr">
        <is>
          <t>5 слайсов имбиря</t>
        </is>
      </c>
      <c r="E147" s="411" t="inlineStr">
        <is>
          <t>В графин под лимонады закидываем лёд.</t>
        </is>
      </c>
    </row>
    <row r="148">
      <c r="A148" s="411" t="n"/>
      <c r="B148" s="411" t="inlineStr">
        <is>
          <t>сироп миндаль</t>
        </is>
      </c>
      <c r="C148" s="411" t="inlineStr">
        <is>
          <t>80 мл</t>
        </is>
      </c>
      <c r="D148" s="411" t="inlineStr">
        <is>
          <t>5 слайсов манго</t>
        </is>
      </c>
      <c r="E148" s="411" t="inlineStr">
        <is>
          <t xml:space="preserve">билдом смешиваем ингридиенты, добавляем </t>
        </is>
      </c>
    </row>
    <row r="149">
      <c r="A149" s="411" t="n"/>
      <c r="B149" s="411" t="inlineStr">
        <is>
          <t>пюре манго</t>
        </is>
      </c>
      <c r="C149" s="411" t="inlineStr">
        <is>
          <t>80 мл</t>
        </is>
      </c>
      <c r="D149" s="411" t="n"/>
      <c r="E149" s="411" t="inlineStr">
        <is>
          <t>гарнировки, перемешиваем.</t>
        </is>
      </c>
    </row>
    <row r="150">
      <c r="A150" s="411" t="n"/>
      <c r="B150" s="411" t="inlineStr">
        <is>
          <t>фреш имбиря</t>
        </is>
      </c>
      <c r="C150" s="411" t="inlineStr">
        <is>
          <t>70 мл</t>
        </is>
      </c>
      <c r="D150" s="411" t="n"/>
      <c r="E150" s="411" t="inlineStr">
        <is>
          <t>ПФ белый чай завариваем 10 мин ( после отделяем )</t>
        </is>
      </c>
    </row>
    <row r="151">
      <c r="A151" s="430" t="inlineStr">
        <is>
          <t>Название</t>
        </is>
      </c>
      <c r="B151" s="430" t="inlineStr">
        <is>
          <t>Ингридиенты</t>
        </is>
      </c>
      <c r="C151" s="430" t="inlineStr">
        <is>
          <t>Кол-во</t>
        </is>
      </c>
      <c r="D151" s="430" t="inlineStr">
        <is>
          <t>Гарнир</t>
        </is>
      </c>
      <c r="E151" s="430" t="inlineStr">
        <is>
          <t>Метод</t>
        </is>
      </c>
    </row>
    <row r="152">
      <c r="A152" s="411" t="inlineStr">
        <is>
          <t>Ascent</t>
        </is>
      </c>
      <c r="B152" s="411" t="inlineStr">
        <is>
          <t>Вода</t>
        </is>
      </c>
      <c r="C152" s="411" t="inlineStr">
        <is>
          <t>400 мл</t>
        </is>
      </c>
      <c r="D152" s="411" t="inlineStr">
        <is>
          <t>6 листов лайма</t>
        </is>
      </c>
      <c r="E152" s="411" t="inlineStr">
        <is>
          <t xml:space="preserve">10 грм пуэра промыть кипятком, довести с 300 грм </t>
        </is>
      </c>
    </row>
    <row r="153">
      <c r="A153" s="411" t="n"/>
      <c r="B153" s="411" t="inlineStr">
        <is>
          <t>кордиал пуэр</t>
        </is>
      </c>
      <c r="C153" s="411" t="inlineStr">
        <is>
          <t>100 мл</t>
        </is>
      </c>
      <c r="D153" s="411" t="inlineStr">
        <is>
          <t>вишня с/м ( 10 шт )</t>
        </is>
      </c>
      <c r="E153" s="411" t="inlineStr">
        <is>
          <t xml:space="preserve">воды до кипения в сотейнике и варить на </t>
        </is>
      </c>
    </row>
    <row r="154">
      <c r="A154" s="411" t="n"/>
      <c r="B154" s="411" t="inlineStr">
        <is>
          <t>Мед</t>
        </is>
      </c>
      <c r="C154" s="411" t="inlineStr">
        <is>
          <t>40 мл</t>
        </is>
      </c>
      <c r="D154" s="411" t="inlineStr">
        <is>
          <t>фиолетовый кандурин</t>
        </is>
      </c>
      <c r="E154" s="411" t="inlineStr">
        <is>
          <t>протяжении 5 мин, на низком огне. Затем добавить</t>
        </is>
      </c>
    </row>
    <row r="155">
      <c r="A155" s="411" t="n"/>
      <c r="B155" s="411" t="inlineStr">
        <is>
          <t>фреш лимона</t>
        </is>
      </c>
      <c r="C155" s="411" t="inlineStr">
        <is>
          <t>60 мл</t>
        </is>
      </c>
      <c r="D155" s="411" t="n"/>
      <c r="E155" s="411" t="inlineStr">
        <is>
          <t>500 мл вишневого сока и снова довесмти до кипения</t>
        </is>
      </c>
    </row>
    <row r="156">
      <c r="A156" s="411" t="n"/>
      <c r="B156" s="411" t="inlineStr">
        <is>
          <t>лист лайма</t>
        </is>
      </c>
      <c r="C156" s="411" t="inlineStr">
        <is>
          <t>6 шт</t>
        </is>
      </c>
      <c r="D156" s="411" t="n"/>
      <c r="E156" s="411" t="inlineStr">
        <is>
          <t>Добавить 500 грм сахара и расстворить, снять с огня</t>
        </is>
      </c>
    </row>
    <row r="157">
      <c r="A157" s="411" t="n"/>
      <c r="B157" s="411" t="n"/>
      <c r="C157" s="411" t="n"/>
      <c r="D157" s="411" t="n"/>
      <c r="E157" s="411" t="inlineStr">
        <is>
          <t>и добавить цедру 2х лаймов. Остудить/процедить</t>
        </is>
      </c>
    </row>
    <row r="158">
      <c r="A158" s="430" t="inlineStr">
        <is>
          <t>Название</t>
        </is>
      </c>
      <c r="B158" s="430" t="inlineStr">
        <is>
          <t>Ингридиенты</t>
        </is>
      </c>
      <c r="C158" s="430" t="inlineStr">
        <is>
          <t>Кол-во</t>
        </is>
      </c>
      <c r="D158" s="430" t="inlineStr">
        <is>
          <t>Гарнир</t>
        </is>
      </c>
      <c r="E158" s="430" t="inlineStr">
        <is>
          <t>Метод</t>
        </is>
      </c>
    </row>
    <row r="159">
      <c r="A159" s="411" t="inlineStr">
        <is>
          <t>Boreal</t>
        </is>
      </c>
      <c r="B159" s="411" t="inlineStr">
        <is>
          <t>ПФ лунцзынь</t>
        </is>
      </c>
      <c r="C159" s="411" t="inlineStr">
        <is>
          <t>500ммл</t>
        </is>
      </c>
      <c r="D159" s="411" t="inlineStr">
        <is>
          <t xml:space="preserve">лайм/сквиз ( оставить в </t>
        </is>
      </c>
      <c r="E159" s="411" t="inlineStr">
        <is>
          <t xml:space="preserve">Все лаймы выдавить сквизиром в графин ( на </t>
        </is>
      </c>
    </row>
    <row r="160">
      <c r="A160" s="411" t="n"/>
      <c r="B160" s="411" t="inlineStr">
        <is>
          <t>сироп сахар</t>
        </is>
      </c>
      <c r="C160" s="411" t="inlineStr">
        <is>
          <t>40 мл</t>
        </is>
      </c>
      <c r="D160" s="411" t="inlineStr">
        <is>
          <t>графине )</t>
        </is>
      </c>
      <c r="E160" s="411" t="inlineStr">
        <is>
          <t>гарнировку оставить выжатый лайм в графине ).</t>
        </is>
      </c>
    </row>
    <row r="161">
      <c r="A161" s="411" t="n"/>
      <c r="B161" s="411" t="inlineStr">
        <is>
          <t>мэд</t>
        </is>
      </c>
      <c r="C161" s="411" t="inlineStr">
        <is>
          <t>40 мл</t>
        </is>
      </c>
      <c r="D161" s="411" t="inlineStr">
        <is>
          <t>бадьян</t>
        </is>
      </c>
      <c r="E161" s="411" t="inlineStr">
        <is>
          <t>Добавить лёди билдом смешать все ингридиенты</t>
        </is>
      </c>
    </row>
    <row r="162">
      <c r="A162" s="411" t="n"/>
      <c r="B162" s="411" t="inlineStr">
        <is>
          <t>фреш имбиря</t>
        </is>
      </c>
      <c r="C162" s="411" t="inlineStr">
        <is>
          <t>20 мл</t>
        </is>
      </c>
      <c r="D162" s="411" t="inlineStr">
        <is>
          <t>мята</t>
        </is>
      </c>
      <c r="E162" s="58" t="inlineStr">
        <is>
          <t>важно:</t>
        </is>
      </c>
    </row>
    <row r="163">
      <c r="A163" s="411" t="n"/>
      <c r="B163" s="411" t="inlineStr">
        <is>
          <t>изотоник</t>
        </is>
      </c>
      <c r="C163" s="411" t="inlineStr">
        <is>
          <t>1 ложка</t>
        </is>
      </c>
      <c r="D163" s="411" t="n"/>
      <c r="E163" s="58" t="inlineStr">
        <is>
          <t>ПФ лунцзынь из чайника налить сначала в шейкер</t>
        </is>
      </c>
    </row>
    <row r="164">
      <c r="A164" s="411" t="n"/>
      <c r="B164" s="411" t="inlineStr">
        <is>
          <t>лайм</t>
        </is>
      </c>
      <c r="C164" s="411" t="inlineStr">
        <is>
          <t>3 шт</t>
        </is>
      </c>
      <c r="D164" s="411" t="n"/>
      <c r="E164" s="58" t="inlineStr">
        <is>
          <t>со льдом ( не в графин сразу, и наче растопите лёд</t>
        </is>
      </c>
    </row>
    <row r="165">
      <c r="A165" s="411" t="n"/>
      <c r="B165" s="411" t="inlineStr">
        <is>
          <t>мята</t>
        </is>
      </c>
      <c r="C165" s="411" t="inlineStr">
        <is>
          <t>6 - 7 литов</t>
        </is>
      </c>
      <c r="D165" s="411" t="n"/>
      <c r="E165" s="58" t="inlineStr">
        <is>
          <t>горячим чаем ), затем добавить в этот же шейкер</t>
        </is>
      </c>
    </row>
    <row r="166">
      <c r="A166" s="411" t="n"/>
      <c r="B166" s="411" t="inlineStr">
        <is>
          <t>бадьян</t>
        </is>
      </c>
      <c r="C166" s="411" t="inlineStr">
        <is>
          <t>3 шт</t>
        </is>
      </c>
      <c r="D166" s="411" t="n"/>
      <c r="E166" s="58" t="inlineStr">
        <is>
          <t>изотоник и перемешать до полного расстворения.</t>
        </is>
      </c>
    </row>
    <row r="167">
      <c r="A167" s="411" t="n"/>
      <c r="B167" s="411" t="n"/>
      <c r="C167" s="411" t="n"/>
      <c r="D167" s="411" t="n"/>
      <c r="E167" s="58" t="inlineStr">
        <is>
          <t>Так мы получим нужный цвет и легче будет</t>
        </is>
      </c>
    </row>
    <row r="168">
      <c r="A168" s="411" t="n"/>
      <c r="B168" s="411" t="n"/>
      <c r="C168" s="411" t="n"/>
      <c r="D168" s="411" t="n"/>
      <c r="E168" s="58" t="inlineStr">
        <is>
          <t>перемешивать изотоник в шейкере, чем в графине.</t>
        </is>
      </c>
    </row>
    <row r="169">
      <c r="A169" s="423" t="n"/>
      <c r="B169" s="423" t="n"/>
      <c r="C169" s="423" t="n"/>
      <c r="D169" s="423" t="n"/>
      <c r="E169" s="423" t="n"/>
    </row>
    <row r="170">
      <c r="A170" s="443" t="inlineStr">
        <is>
          <t>ВАЖНО: для всех сезонных чаёв нужно сначала взять шейкер ( большую его часть ), засыпать туда лёд, затем влить в него лунцзынь ( изотоник )/белый чай. Это</t>
        </is>
      </c>
    </row>
    <row r="171">
      <c r="A171" s="443" t="inlineStr">
        <is>
          <t>нужно для того, что бы горячим ПФ чаями не растопить лед непосредственно в графине перед подачей + так удобнее будет перемешивать изотоник в чае "Boreal".</t>
        </is>
      </c>
    </row>
  </sheetData>
  <mergeCells count="2">
    <mergeCell ref="A170:E170"/>
    <mergeCell ref="A171:E17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97"/>
  <sheetViews>
    <sheetView workbookViewId="0">
      <selection activeCell="A1" sqref="A1"/>
    </sheetView>
  </sheetViews>
  <sheetFormatPr baseColWidth="8" defaultColWidth="14.43" defaultRowHeight="15" customHeight="1"/>
  <cols>
    <col width="24.29" customWidth="1" style="552" min="1" max="1"/>
    <col width="22.29" customWidth="1" style="552" min="2" max="2"/>
    <col width="23.71" customWidth="1" style="552" min="4" max="4"/>
    <col width="15.14" customWidth="1" style="552" min="6" max="6"/>
  </cols>
  <sheetData>
    <row r="1">
      <c r="A1" s="447" t="inlineStr">
        <is>
          <t>Милкшейки:</t>
        </is>
      </c>
    </row>
    <row r="2">
      <c r="A2" s="448" t="inlineStr">
        <is>
          <t>Название</t>
        </is>
      </c>
      <c r="B2" s="415" t="inlineStr">
        <is>
          <t>Ингридиенты</t>
        </is>
      </c>
      <c r="C2" s="415" t="inlineStr">
        <is>
          <t>Кол-во</t>
        </is>
      </c>
      <c r="D2" s="415" t="inlineStr">
        <is>
          <t>Гаринровка</t>
        </is>
      </c>
      <c r="E2" s="415" t="inlineStr">
        <is>
          <t>Посуда</t>
        </is>
      </c>
      <c r="F2" s="415" t="inlineStr">
        <is>
          <t>Метод</t>
        </is>
      </c>
    </row>
    <row r="3">
      <c r="A3" s="272" t="inlineStr">
        <is>
          <t>Ягодный</t>
        </is>
      </c>
      <c r="B3" s="272" t="inlineStr">
        <is>
          <t>Мороженное</t>
        </is>
      </c>
      <c r="C3" s="420" t="inlineStr">
        <is>
          <t>100 грм</t>
        </is>
      </c>
      <c r="D3" s="272" t="inlineStr">
        <is>
          <t xml:space="preserve">Краста из нутелы, взбитые </t>
        </is>
      </c>
      <c r="E3" s="272" t="inlineStr">
        <is>
          <t>Харикейн</t>
        </is>
      </c>
      <c r="F3" s="272" t="inlineStr">
        <is>
          <t>Взбить в блендере</t>
        </is>
      </c>
    </row>
    <row r="4">
      <c r="A4" s="272" t="n"/>
      <c r="B4" s="272" t="inlineStr">
        <is>
          <t>Молоко 3,2%</t>
        </is>
      </c>
      <c r="C4" s="420" t="inlineStr">
        <is>
          <t>120 мл</t>
        </is>
      </c>
      <c r="D4" s="272" t="inlineStr">
        <is>
          <t>сливки, свежая малина, мята</t>
        </is>
      </c>
      <c r="E4" s="272" t="n"/>
      <c r="F4" s="272" t="n"/>
    </row>
    <row r="5">
      <c r="A5" s="272" t="n"/>
      <c r="B5" s="272" t="inlineStr">
        <is>
          <t>Сливки 11%</t>
        </is>
      </c>
      <c r="C5" s="420" t="inlineStr">
        <is>
          <t>60 мл</t>
        </is>
      </c>
      <c r="D5" s="272" t="n"/>
      <c r="E5" s="272" t="n"/>
      <c r="F5" s="272" t="n"/>
    </row>
    <row r="6">
      <c r="A6" s="272" t="n"/>
      <c r="B6" s="272" t="inlineStr">
        <is>
          <t>Пюре малина</t>
        </is>
      </c>
      <c r="C6" s="420" t="inlineStr">
        <is>
          <t>15 мл</t>
        </is>
      </c>
      <c r="D6" s="272" t="n"/>
      <c r="E6" s="272" t="n"/>
      <c r="F6" s="272" t="n"/>
    </row>
    <row r="7">
      <c r="A7" s="272" t="n"/>
      <c r="B7" s="272" t="inlineStr">
        <is>
          <t>Сироп клубника Монин</t>
        </is>
      </c>
      <c r="C7" s="420" t="inlineStr">
        <is>
          <t>30 мл</t>
        </is>
      </c>
      <c r="D7" s="272" t="n"/>
      <c r="E7" s="272" t="n"/>
      <c r="F7" s="272" t="n"/>
    </row>
    <row r="8">
      <c r="A8" s="272" t="n"/>
      <c r="B8" s="272" t="inlineStr">
        <is>
          <t>Нутела</t>
        </is>
      </c>
      <c r="C8" s="420" t="inlineStr">
        <is>
          <t>60 грм</t>
        </is>
      </c>
      <c r="D8" s="272" t="n"/>
      <c r="E8" s="272" t="n"/>
      <c r="F8" s="272" t="n"/>
    </row>
    <row r="9">
      <c r="A9" s="454" t="n"/>
      <c r="B9" s="455" t="inlineStr">
        <is>
          <t>Взбитые сливки</t>
        </is>
      </c>
      <c r="C9" s="456" t="inlineStr">
        <is>
          <t>30 грм</t>
        </is>
      </c>
      <c r="D9" s="454" t="n"/>
      <c r="E9" s="454" t="n"/>
      <c r="F9" s="454" t="n"/>
    </row>
    <row r="10">
      <c r="A10" s="454" t="n"/>
      <c r="B10" s="455" t="inlineStr">
        <is>
          <t>Мята</t>
        </is>
      </c>
      <c r="C10" s="456" t="inlineStr">
        <is>
          <t>10грм</t>
        </is>
      </c>
      <c r="D10" s="454" t="n"/>
      <c r="E10" s="454" t="n"/>
      <c r="F10" s="454" t="n"/>
    </row>
    <row r="11">
      <c r="A11" s="454" t="n"/>
      <c r="B11" s="455" t="inlineStr">
        <is>
          <t>Малина свежая</t>
        </is>
      </c>
      <c r="C11" s="456" t="inlineStr">
        <is>
          <t>25 грм</t>
        </is>
      </c>
      <c r="D11" s="454" t="n"/>
      <c r="E11" s="454" t="n"/>
      <c r="F11" s="454" t="n"/>
    </row>
    <row r="12">
      <c r="A12" s="415" t="inlineStr">
        <is>
          <t>Название</t>
        </is>
      </c>
      <c r="B12" s="415" t="inlineStr">
        <is>
          <t>Ингридиенты</t>
        </is>
      </c>
      <c r="C12" s="415" t="inlineStr">
        <is>
          <t>Кол-во</t>
        </is>
      </c>
      <c r="D12" s="415" t="inlineStr">
        <is>
          <t>Гарнировка</t>
        </is>
      </c>
      <c r="E12" s="415" t="inlineStr">
        <is>
          <t>Посуда</t>
        </is>
      </c>
      <c r="F12" s="415" t="inlineStr">
        <is>
          <t>Метод</t>
        </is>
      </c>
    </row>
    <row r="13">
      <c r="A13" s="272" t="inlineStr">
        <is>
          <t>Банановый</t>
        </is>
      </c>
      <c r="B13" s="272" t="inlineStr">
        <is>
          <t>Мороженное</t>
        </is>
      </c>
      <c r="C13" s="420" t="inlineStr">
        <is>
          <t>100 грм</t>
        </is>
      </c>
      <c r="D13" s="272" t="inlineStr">
        <is>
          <t xml:space="preserve">Краста из нутелы, взбитые </t>
        </is>
      </c>
      <c r="E13" s="272" t="inlineStr">
        <is>
          <t>Харикейн</t>
        </is>
      </c>
      <c r="F13" s="272" t="inlineStr">
        <is>
          <t>Взбить в блендере</t>
        </is>
      </c>
    </row>
    <row r="14">
      <c r="A14" s="272" t="n"/>
      <c r="B14" s="272" t="inlineStr">
        <is>
          <t>Молоко 3,2%</t>
        </is>
      </c>
      <c r="C14" s="420" t="inlineStr">
        <is>
          <t>120 мл</t>
        </is>
      </c>
      <c r="D14" s="272" t="inlineStr">
        <is>
          <t>сливки, чипсы банана</t>
        </is>
      </c>
      <c r="E14" s="272" t="n"/>
      <c r="F14" s="272" t="n"/>
    </row>
    <row r="15">
      <c r="A15" s="272" t="n"/>
      <c r="B15" s="272" t="inlineStr">
        <is>
          <t>Сливки 11%</t>
        </is>
      </c>
      <c r="C15" s="420" t="inlineStr">
        <is>
          <t>60 мл</t>
        </is>
      </c>
      <c r="D15" s="272" t="n"/>
      <c r="E15" s="272" t="n"/>
      <c r="F15" s="272" t="n"/>
    </row>
    <row r="16">
      <c r="A16" s="272" t="n"/>
      <c r="B16" s="272" t="inlineStr">
        <is>
          <t>Сироп банан</t>
        </is>
      </c>
      <c r="C16" s="420" t="inlineStr">
        <is>
          <t>40 мл</t>
        </is>
      </c>
      <c r="D16" s="272" t="n"/>
      <c r="E16" s="272" t="n"/>
      <c r="F16" s="272" t="n"/>
    </row>
    <row r="17">
      <c r="A17" s="461" t="n"/>
      <c r="B17" s="455" t="inlineStr">
        <is>
          <t>Нутела</t>
        </is>
      </c>
      <c r="C17" s="456" t="inlineStr">
        <is>
          <t>60 грм</t>
        </is>
      </c>
      <c r="D17" s="461" t="n"/>
      <c r="E17" s="461" t="n"/>
      <c r="F17" s="461" t="n"/>
    </row>
    <row r="18">
      <c r="A18" s="461" t="n"/>
      <c r="B18" s="455" t="inlineStr">
        <is>
          <t>Взбитые сливки</t>
        </is>
      </c>
      <c r="C18" s="456" t="inlineStr">
        <is>
          <t>30 грм</t>
        </is>
      </c>
      <c r="D18" s="461" t="n"/>
      <c r="E18" s="461" t="n"/>
      <c r="F18" s="461" t="n"/>
    </row>
    <row r="19">
      <c r="A19" s="461" t="n"/>
      <c r="B19" s="455" t="inlineStr">
        <is>
          <t>Банан сушеный</t>
        </is>
      </c>
      <c r="C19" s="456" t="inlineStr">
        <is>
          <t>20 грм</t>
        </is>
      </c>
      <c r="D19" s="461" t="n"/>
      <c r="E19" s="461" t="n"/>
      <c r="F19" s="461" t="n"/>
    </row>
    <row r="20">
      <c r="A20" s="415" t="inlineStr">
        <is>
          <t>Название</t>
        </is>
      </c>
      <c r="B20" s="415" t="inlineStr">
        <is>
          <t>Ингридиенты</t>
        </is>
      </c>
      <c r="C20" s="415" t="inlineStr">
        <is>
          <t>Кол-во</t>
        </is>
      </c>
      <c r="D20" s="415" t="inlineStr">
        <is>
          <t>Гарнировка</t>
        </is>
      </c>
      <c r="E20" s="415" t="inlineStr">
        <is>
          <t>Посуда</t>
        </is>
      </c>
      <c r="F20" s="415" t="inlineStr">
        <is>
          <t>Метод</t>
        </is>
      </c>
    </row>
    <row r="21">
      <c r="A21" s="272" t="inlineStr">
        <is>
          <t>Шоколадный</t>
        </is>
      </c>
      <c r="B21" s="272" t="inlineStr">
        <is>
          <t>Мороженное</t>
        </is>
      </c>
      <c r="C21" s="420" t="inlineStr">
        <is>
          <t>100 грм</t>
        </is>
      </c>
      <c r="D21" s="272" t="inlineStr">
        <is>
          <t>Краста из нутелы, взбитые</t>
        </is>
      </c>
      <c r="E21" s="272" t="inlineStr">
        <is>
          <t>Харикейн</t>
        </is>
      </c>
      <c r="F21" s="272" t="inlineStr">
        <is>
          <t>Взбить в блендере</t>
        </is>
      </c>
    </row>
    <row r="22">
      <c r="A22" s="272" t="n"/>
      <c r="B22" s="272" t="inlineStr">
        <is>
          <t>Молоко 3,2%</t>
        </is>
      </c>
      <c r="C22" s="420" t="inlineStr">
        <is>
          <t>120 мл</t>
        </is>
      </c>
      <c r="D22" s="272" t="inlineStr">
        <is>
          <t>сливки, орео - chocopie</t>
        </is>
      </c>
      <c r="E22" s="272" t="n"/>
      <c r="F22" s="272" t="n"/>
    </row>
    <row r="23">
      <c r="A23" s="272" t="n"/>
      <c r="B23" s="272" t="inlineStr">
        <is>
          <t>Сливки 11%</t>
        </is>
      </c>
      <c r="C23" s="420" t="inlineStr">
        <is>
          <t>60 мл</t>
        </is>
      </c>
      <c r="D23" s="272" t="n"/>
      <c r="E23" s="272" t="n"/>
      <c r="F23" s="272" t="n"/>
    </row>
    <row r="24">
      <c r="A24" s="272" t="n"/>
      <c r="B24" s="272" t="inlineStr">
        <is>
          <t>Шоколадный топинг</t>
        </is>
      </c>
      <c r="C24" s="420" t="inlineStr">
        <is>
          <t>20 мл</t>
        </is>
      </c>
      <c r="D24" s="272" t="n"/>
      <c r="E24" s="272" t="n"/>
      <c r="F24" s="272" t="n"/>
    </row>
    <row r="25">
      <c r="A25" s="272" t="n"/>
      <c r="B25" s="272" t="inlineStr">
        <is>
          <t>Сироп шоколад</t>
        </is>
      </c>
      <c r="C25" s="420" t="inlineStr">
        <is>
          <t>50 мл</t>
        </is>
      </c>
      <c r="D25" s="272" t="n"/>
      <c r="E25" s="272" t="n"/>
      <c r="F25" s="272" t="n"/>
    </row>
    <row r="26">
      <c r="A26" s="455" t="n"/>
      <c r="B26" s="455" t="inlineStr">
        <is>
          <t>Нутела</t>
        </is>
      </c>
      <c r="C26" s="456" t="inlineStr">
        <is>
          <t>60 грм</t>
        </is>
      </c>
      <c r="D26" s="455" t="n"/>
      <c r="E26" s="455" t="n"/>
      <c r="F26" s="455" t="n"/>
    </row>
    <row r="27">
      <c r="A27" s="455" t="n"/>
      <c r="B27" s="455" t="inlineStr">
        <is>
          <t>Взбитые сливки</t>
        </is>
      </c>
      <c r="C27" s="456" t="inlineStr">
        <is>
          <t>30 грм</t>
        </is>
      </c>
      <c r="D27" s="455" t="n"/>
      <c r="E27" s="455" t="n"/>
      <c r="F27" s="455" t="n"/>
    </row>
    <row r="28">
      <c r="A28" s="455" t="n"/>
      <c r="B28" s="455" t="inlineStr">
        <is>
          <t>Орео/Чокопай</t>
        </is>
      </c>
      <c r="C28" s="456" t="inlineStr">
        <is>
          <t>80 грм ( 2 шт )</t>
        </is>
      </c>
      <c r="D28" s="455" t="n"/>
      <c r="E28" s="455" t="n"/>
      <c r="F28" s="455" t="n"/>
    </row>
    <row r="29">
      <c r="A29" s="415" t="inlineStr">
        <is>
          <t>Название</t>
        </is>
      </c>
      <c r="B29" s="415" t="inlineStr">
        <is>
          <t>Ингридиенты</t>
        </is>
      </c>
      <c r="C29" s="415" t="inlineStr">
        <is>
          <t>Кол-во</t>
        </is>
      </c>
      <c r="D29" s="415" t="inlineStr">
        <is>
          <t>Гарнировка</t>
        </is>
      </c>
      <c r="E29" s="415" t="inlineStr">
        <is>
          <t>Посуда</t>
        </is>
      </c>
      <c r="F29" s="415" t="inlineStr">
        <is>
          <t>Метод</t>
        </is>
      </c>
    </row>
    <row r="30">
      <c r="A30" s="272" t="inlineStr">
        <is>
          <t>Ванильный</t>
        </is>
      </c>
      <c r="B30" s="272" t="inlineStr">
        <is>
          <t>Мороженное</t>
        </is>
      </c>
      <c r="C30" s="420" t="inlineStr">
        <is>
          <t>100 грм</t>
        </is>
      </c>
      <c r="D30" s="272" t="inlineStr">
        <is>
          <t>Краста из нутелы, взбитые</t>
        </is>
      </c>
      <c r="E30" s="272" t="inlineStr">
        <is>
          <t>Харикейн</t>
        </is>
      </c>
      <c r="F30" s="272" t="inlineStr">
        <is>
          <t>Взбить в блендере</t>
        </is>
      </c>
    </row>
    <row r="31">
      <c r="A31" s="272" t="n"/>
      <c r="B31" s="272" t="inlineStr">
        <is>
          <t>Молоко 3,2%</t>
        </is>
      </c>
      <c r="C31" s="420" t="inlineStr">
        <is>
          <t>120 мл</t>
        </is>
      </c>
      <c r="D31" s="272" t="inlineStr">
        <is>
          <t>сливки, маршмеллоу большой/</t>
        </is>
      </c>
      <c r="E31" s="272" t="n"/>
      <c r="F31" s="272" t="n"/>
    </row>
    <row r="32">
      <c r="A32" s="272" t="n"/>
      <c r="B32" s="272" t="inlineStr">
        <is>
          <t>Сливки 11%</t>
        </is>
      </c>
      <c r="C32" s="420" t="inlineStr">
        <is>
          <t>60 мл</t>
        </is>
      </c>
      <c r="D32" s="272" t="inlineStr">
        <is>
          <t>маленький</t>
        </is>
      </c>
      <c r="E32" s="272" t="n"/>
      <c r="F32" s="272" t="n"/>
    </row>
    <row r="33">
      <c r="A33" s="272" t="n"/>
      <c r="B33" s="272" t="inlineStr">
        <is>
          <t>Сироп ваниль</t>
        </is>
      </c>
      <c r="C33" s="420" t="inlineStr">
        <is>
          <t>50 мл</t>
        </is>
      </c>
      <c r="D33" s="272" t="n"/>
      <c r="E33" s="272" t="n"/>
      <c r="F33" s="272" t="n"/>
    </row>
    <row r="34">
      <c r="A34" s="496" t="n"/>
      <c r="B34" s="411" t="inlineStr">
        <is>
          <t>Нутела</t>
        </is>
      </c>
      <c r="C34" s="431" t="inlineStr">
        <is>
          <t>60 грм</t>
        </is>
      </c>
      <c r="D34" s="44" t="n"/>
      <c r="E34" s="44" t="n"/>
      <c r="F34" s="44" t="n"/>
    </row>
    <row r="35">
      <c r="A35" s="496" t="n"/>
      <c r="B35" s="411" t="inlineStr">
        <is>
          <t>Взбитые сливки</t>
        </is>
      </c>
      <c r="C35" s="431" t="inlineStr">
        <is>
          <t>30 грм</t>
        </is>
      </c>
      <c r="D35" s="44" t="n"/>
      <c r="E35" s="44" t="n"/>
      <c r="F35" s="44" t="n"/>
    </row>
    <row r="36">
      <c r="A36" s="497" t="n"/>
      <c r="B36" s="411" t="inlineStr">
        <is>
          <t>Маршмеллоу</t>
        </is>
      </c>
      <c r="C36" s="431" t="inlineStr">
        <is>
          <t>15 грм</t>
        </is>
      </c>
      <c r="D36" s="44" t="n"/>
      <c r="E36" s="44" t="n"/>
      <c r="F36" s="44" t="n"/>
    </row>
    <row r="37">
      <c r="A37" s="498" t="inlineStr">
        <is>
          <t>Смузи:</t>
        </is>
      </c>
    </row>
    <row r="38">
      <c r="A38" s="269" t="inlineStr">
        <is>
          <t>Название</t>
        </is>
      </c>
      <c r="B38" s="499" t="inlineStr">
        <is>
          <t>Ингридиенты</t>
        </is>
      </c>
      <c r="C38" s="499" t="inlineStr">
        <is>
          <t>Кол-во</t>
        </is>
      </c>
      <c r="D38" s="499" t="inlineStr">
        <is>
          <t>Лёд</t>
        </is>
      </c>
      <c r="E38" s="499" t="inlineStr">
        <is>
          <t>Посуда</t>
        </is>
      </c>
      <c r="F38" s="499" t="inlineStr">
        <is>
          <t>Метод</t>
        </is>
      </c>
    </row>
    <row r="39">
      <c r="A39" s="97" t="inlineStr">
        <is>
          <t>Ягодный</t>
        </is>
      </c>
      <c r="B39" s="510" t="inlineStr">
        <is>
          <t>пюре малина</t>
        </is>
      </c>
      <c r="C39" s="510" t="inlineStr">
        <is>
          <t>50 мл</t>
        </is>
      </c>
      <c r="D39" s="436" t="inlineStr">
        <is>
          <t>кусок ( 4-5 шт )</t>
        </is>
      </c>
      <c r="E39" s="510" t="inlineStr">
        <is>
          <t>харикейн</t>
        </is>
      </c>
      <c r="F39" s="510" t="inlineStr">
        <is>
          <t>кусок</t>
        </is>
      </c>
    </row>
    <row r="40">
      <c r="A40" s="513" t="n"/>
      <c r="B40" s="510" t="inlineStr">
        <is>
          <t>пюре черника</t>
        </is>
      </c>
      <c r="C40" s="510" t="inlineStr">
        <is>
          <t>100 мл</t>
        </is>
      </c>
      <c r="D40" s="407" t="n"/>
      <c r="E40" s="407" t="n"/>
      <c r="F40" s="407" t="n"/>
    </row>
    <row r="41">
      <c r="A41" s="513" t="n"/>
      <c r="B41" s="510" t="inlineStr">
        <is>
          <t>клубника с/м</t>
        </is>
      </c>
      <c r="C41" s="510" t="inlineStr">
        <is>
          <t>5 шт</t>
        </is>
      </c>
      <c r="D41" s="407" t="n"/>
      <c r="E41" s="407" t="n"/>
      <c r="F41" s="407" t="n"/>
    </row>
    <row r="42">
      <c r="A42" s="513" t="n"/>
      <c r="B42" s="510" t="inlineStr">
        <is>
          <t>малина с/в</t>
        </is>
      </c>
      <c r="C42" s="510" t="inlineStr">
        <is>
          <t>2 шт</t>
        </is>
      </c>
      <c r="D42" s="407" t="n"/>
      <c r="E42" s="407" t="n"/>
      <c r="F42" s="407" t="n"/>
    </row>
    <row r="43">
      <c r="A43" s="513" t="n"/>
      <c r="B43" s="510" t="inlineStr">
        <is>
          <t xml:space="preserve">содовая </t>
        </is>
      </c>
      <c r="C43" s="510" t="inlineStr">
        <is>
          <t>150 мл</t>
        </is>
      </c>
      <c r="D43" s="407" t="n"/>
      <c r="E43" s="407" t="n"/>
      <c r="F43" s="407" t="n"/>
    </row>
    <row r="44">
      <c r="A44" s="513" t="n"/>
      <c r="B44" s="510" t="inlineStr">
        <is>
          <t>лёд</t>
        </is>
      </c>
      <c r="C44" s="510" t="inlineStr">
        <is>
          <t>5 шт</t>
        </is>
      </c>
      <c r="D44" s="407" t="n"/>
      <c r="E44" s="407" t="n"/>
      <c r="F44" s="407" t="n"/>
    </row>
    <row r="45">
      <c r="A45" s="326" t="inlineStr">
        <is>
          <t>Название</t>
        </is>
      </c>
      <c r="B45" s="506" t="inlineStr">
        <is>
          <t>Ингридиенты</t>
        </is>
      </c>
      <c r="C45" s="506" t="inlineStr">
        <is>
          <t>Кол-во</t>
        </is>
      </c>
      <c r="D45" s="506" t="inlineStr">
        <is>
          <t>Лёд</t>
        </is>
      </c>
      <c r="E45" s="506" t="inlineStr">
        <is>
          <t>Посуда</t>
        </is>
      </c>
      <c r="F45" s="506" t="inlineStr">
        <is>
          <t>Метод</t>
        </is>
      </c>
    </row>
    <row r="46">
      <c r="A46" s="97" t="inlineStr">
        <is>
          <t>Тропический</t>
        </is>
      </c>
      <c r="B46" s="510" t="inlineStr">
        <is>
          <t>пюре ананас</t>
        </is>
      </c>
      <c r="C46" s="510" t="inlineStr">
        <is>
          <t>100 мл</t>
        </is>
      </c>
      <c r="D46" s="436" t="inlineStr">
        <is>
          <t>кусок ( 4-5 шт )</t>
        </is>
      </c>
      <c r="E46" s="510" t="inlineStr">
        <is>
          <t>харикейн</t>
        </is>
      </c>
      <c r="F46" s="510" t="inlineStr">
        <is>
          <t>кусок</t>
        </is>
      </c>
    </row>
    <row r="47">
      <c r="A47" s="513" t="n"/>
      <c r="B47" s="510" t="inlineStr">
        <is>
          <t>пюре манго</t>
        </is>
      </c>
      <c r="C47" s="510" t="inlineStr">
        <is>
          <t>100 мл</t>
        </is>
      </c>
      <c r="D47" s="407" t="n"/>
      <c r="E47" s="407" t="n"/>
      <c r="F47" s="407" t="n"/>
    </row>
    <row r="48">
      <c r="A48" s="513" t="n"/>
      <c r="B48" s="510" t="inlineStr">
        <is>
          <t>пюре маракуйя</t>
        </is>
      </c>
      <c r="C48" s="510" t="inlineStr">
        <is>
          <t>100 мл</t>
        </is>
      </c>
      <c r="D48" s="407" t="n"/>
      <c r="E48" s="407" t="n"/>
      <c r="F48" s="407" t="n"/>
    </row>
    <row r="49">
      <c r="A49" s="513" t="n"/>
      <c r="B49" s="510" t="inlineStr">
        <is>
          <t>личи консервированный</t>
        </is>
      </c>
      <c r="C49" s="510" t="inlineStr">
        <is>
          <t>4 шт</t>
        </is>
      </c>
      <c r="D49" s="407" t="n"/>
      <c r="E49" s="407" t="n"/>
      <c r="F49" s="407" t="n"/>
    </row>
    <row r="50">
      <c r="A50" s="513" t="n"/>
      <c r="B50" s="510" t="inlineStr">
        <is>
          <t>сироп личи ( из банки )</t>
        </is>
      </c>
      <c r="C50" s="510" t="inlineStr">
        <is>
          <t>25 мл</t>
        </is>
      </c>
      <c r="D50" s="407" t="n"/>
      <c r="E50" s="407" t="n"/>
      <c r="F50" s="407" t="n"/>
    </row>
    <row r="51">
      <c r="A51" s="513" t="n"/>
      <c r="B51" s="510" t="inlineStr">
        <is>
          <t>маракуйя с/в</t>
        </is>
      </c>
      <c r="C51" s="510" t="inlineStr">
        <is>
          <t>1/2 ( половинка )</t>
        </is>
      </c>
      <c r="D51" s="407" t="n"/>
      <c r="E51" s="407" t="n"/>
      <c r="F51" s="407" t="n"/>
    </row>
    <row r="52">
      <c r="A52" s="513" t="n"/>
      <c r="B52" s="510" t="inlineStr">
        <is>
          <t>лёд</t>
        </is>
      </c>
      <c r="C52" s="510" t="inlineStr">
        <is>
          <t>5 шт</t>
        </is>
      </c>
      <c r="D52" s="407" t="n"/>
      <c r="E52" s="407" t="n"/>
      <c r="F52" s="407" t="n"/>
    </row>
    <row r="53">
      <c r="A53" s="326" t="inlineStr">
        <is>
          <t>Название</t>
        </is>
      </c>
      <c r="B53" s="506" t="inlineStr">
        <is>
          <t>Ингридиенты</t>
        </is>
      </c>
      <c r="C53" s="506" t="inlineStr">
        <is>
          <t>Кол-во</t>
        </is>
      </c>
      <c r="D53" s="506" t="inlineStr">
        <is>
          <t>Лёд</t>
        </is>
      </c>
      <c r="E53" s="506" t="inlineStr">
        <is>
          <t>Посуда</t>
        </is>
      </c>
      <c r="F53" s="506" t="inlineStr">
        <is>
          <t>Метод</t>
        </is>
      </c>
    </row>
    <row r="54">
      <c r="A54" s="97" t="inlineStr">
        <is>
          <t>Фруктовый</t>
        </is>
      </c>
      <c r="B54" s="510" t="inlineStr">
        <is>
          <t>банан</t>
        </is>
      </c>
      <c r="C54" s="510" t="inlineStr">
        <is>
          <t>1 шт</t>
        </is>
      </c>
      <c r="D54" s="436" t="inlineStr">
        <is>
          <t>кусок ( 4-5 шт )</t>
        </is>
      </c>
      <c r="E54" s="510" t="inlineStr">
        <is>
          <t>харикейн</t>
        </is>
      </c>
      <c r="F54" s="510" t="inlineStr">
        <is>
          <t>кусок</t>
        </is>
      </c>
    </row>
    <row r="55">
      <c r="A55" s="513" t="n"/>
      <c r="B55" s="510" t="inlineStr">
        <is>
          <t>киви</t>
        </is>
      </c>
      <c r="C55" s="510" t="inlineStr">
        <is>
          <t>1 шт</t>
        </is>
      </c>
      <c r="D55" s="407" t="n"/>
      <c r="E55" s="407" t="n"/>
      <c r="F55" s="407" t="n"/>
    </row>
    <row r="56">
      <c r="A56" s="513" t="n"/>
      <c r="B56" s="510" t="inlineStr">
        <is>
          <t>яблоко ( красное )</t>
        </is>
      </c>
      <c r="C56" s="510" t="inlineStr">
        <is>
          <t>1/2 ( половина )</t>
        </is>
      </c>
      <c r="D56" s="407" t="n"/>
      <c r="E56" s="407" t="n"/>
      <c r="F56" s="407" t="n"/>
    </row>
    <row r="57">
      <c r="A57" s="513" t="n"/>
      <c r="B57" s="510" t="inlineStr">
        <is>
          <t>пюре ананс</t>
        </is>
      </c>
      <c r="C57" s="510" t="inlineStr">
        <is>
          <t>100 грм</t>
        </is>
      </c>
      <c r="D57" s="407" t="n"/>
      <c r="E57" s="407" t="n"/>
      <c r="F57" s="407" t="n"/>
    </row>
    <row r="58">
      <c r="A58" s="524" t="n"/>
      <c r="B58" s="525" t="inlineStr">
        <is>
          <t>корица ( молотая )</t>
        </is>
      </c>
      <c r="C58" s="525" t="inlineStr">
        <is>
          <t>4 деш</t>
        </is>
      </c>
      <c r="D58" s="524" t="n"/>
      <c r="E58" s="524" t="n"/>
      <c r="F58" s="524" t="n"/>
    </row>
    <row r="59">
      <c r="A59" s="524" t="n"/>
      <c r="B59" s="525" t="inlineStr">
        <is>
          <t xml:space="preserve">содовая </t>
        </is>
      </c>
      <c r="C59" s="525" t="inlineStr">
        <is>
          <t>150 мл</t>
        </is>
      </c>
      <c r="D59" s="524" t="n"/>
      <c r="E59" s="524" t="n"/>
      <c r="F59" s="524" t="n"/>
    </row>
    <row r="60">
      <c r="A60" s="524" t="n"/>
      <c r="B60" s="525" t="inlineStr">
        <is>
          <t>лэд</t>
        </is>
      </c>
      <c r="C60" s="525" t="inlineStr">
        <is>
          <t>5 шт</t>
        </is>
      </c>
      <c r="D60" s="524" t="n"/>
      <c r="E60" s="524" t="n"/>
      <c r="F60" s="524" t="n"/>
    </row>
    <row r="61">
      <c r="A61" s="527" t="n"/>
      <c r="B61" s="527" t="n"/>
      <c r="C61" s="527" t="n"/>
      <c r="D61" s="527" t="n"/>
      <c r="E61" s="527" t="n"/>
      <c r="F61" s="527" t="n"/>
      <c r="G61" s="488" t="n"/>
      <c r="H61" s="488" t="n"/>
      <c r="I61" s="488" t="n"/>
      <c r="J61" s="488" t="n"/>
      <c r="K61" s="488" t="n"/>
      <c r="L61" s="488" t="n"/>
      <c r="M61" s="488" t="n"/>
      <c r="N61" s="488" t="n"/>
      <c r="O61" s="488" t="n"/>
      <c r="P61" s="488" t="n"/>
      <c r="Q61" s="488" t="n"/>
      <c r="R61" s="488" t="n"/>
      <c r="S61" s="488" t="n"/>
      <c r="T61" s="488" t="n"/>
      <c r="U61" s="488" t="n"/>
      <c r="V61" s="488" t="n"/>
      <c r="W61" s="488" t="n"/>
      <c r="X61" s="488" t="n"/>
      <c r="Y61" s="488" t="n"/>
      <c r="Z61" s="488" t="n"/>
    </row>
    <row r="62">
      <c r="A62" s="530" t="n"/>
      <c r="B62" s="530" t="n"/>
      <c r="C62" s="530" t="n"/>
      <c r="D62" s="529" t="n"/>
      <c r="E62" s="530" t="n"/>
      <c r="F62" s="530" t="n"/>
      <c r="G62" s="488" t="n"/>
      <c r="H62" s="488" t="n"/>
      <c r="I62" s="488" t="n"/>
      <c r="J62" s="488" t="n"/>
      <c r="K62" s="488" t="n"/>
      <c r="L62" s="488" t="n"/>
      <c r="M62" s="488" t="n"/>
      <c r="N62" s="488" t="n"/>
      <c r="O62" s="488" t="n"/>
      <c r="P62" s="488" t="n"/>
      <c r="Q62" s="488" t="n"/>
      <c r="R62" s="488" t="n"/>
      <c r="S62" s="488" t="n"/>
      <c r="T62" s="488" t="n"/>
      <c r="U62" s="488" t="n"/>
      <c r="V62" s="488" t="n"/>
      <c r="W62" s="488" t="n"/>
      <c r="X62" s="488" t="n"/>
      <c r="Y62" s="488" t="n"/>
      <c r="Z62" s="488" t="n"/>
    </row>
    <row r="63">
      <c r="A63" s="532" t="n"/>
      <c r="B63" s="530" t="n"/>
      <c r="C63" s="530" t="n"/>
      <c r="D63" s="532" t="n"/>
      <c r="E63" s="532" t="n"/>
      <c r="F63" s="532" t="n"/>
      <c r="G63" s="488" t="n"/>
      <c r="H63" s="488" t="n"/>
      <c r="I63" s="488" t="n"/>
      <c r="J63" s="488" t="n"/>
      <c r="K63" s="488" t="n"/>
      <c r="L63" s="488" t="n"/>
      <c r="M63" s="488" t="n"/>
      <c r="N63" s="488" t="n"/>
      <c r="O63" s="488" t="n"/>
      <c r="P63" s="488" t="n"/>
      <c r="Q63" s="488" t="n"/>
      <c r="R63" s="488" t="n"/>
      <c r="S63" s="488" t="n"/>
      <c r="T63" s="488" t="n"/>
      <c r="U63" s="488" t="n"/>
      <c r="V63" s="488" t="n"/>
      <c r="W63" s="488" t="n"/>
      <c r="X63" s="488" t="n"/>
      <c r="Y63" s="488" t="n"/>
      <c r="Z63" s="488" t="n"/>
    </row>
    <row r="64">
      <c r="A64" s="532" t="n"/>
      <c r="B64" s="530" t="n"/>
      <c r="C64" s="530" t="n"/>
      <c r="D64" s="532" t="n"/>
      <c r="E64" s="532" t="n"/>
      <c r="F64" s="532" t="n"/>
      <c r="G64" s="488" t="n"/>
      <c r="H64" s="488" t="n"/>
      <c r="I64" s="488" t="n"/>
      <c r="J64" s="488" t="n"/>
      <c r="K64" s="488" t="n"/>
      <c r="L64" s="488" t="n"/>
      <c r="M64" s="488" t="n"/>
      <c r="N64" s="488" t="n"/>
      <c r="O64" s="488" t="n"/>
      <c r="P64" s="488" t="n"/>
      <c r="Q64" s="488" t="n"/>
      <c r="R64" s="488" t="n"/>
      <c r="S64" s="488" t="n"/>
      <c r="T64" s="488" t="n"/>
      <c r="U64" s="488" t="n"/>
      <c r="V64" s="488" t="n"/>
      <c r="W64" s="488" t="n"/>
      <c r="X64" s="488" t="n"/>
      <c r="Y64" s="488" t="n"/>
      <c r="Z64" s="488" t="n"/>
    </row>
    <row r="65">
      <c r="A65" s="532" t="n"/>
      <c r="B65" s="530" t="n"/>
      <c r="C65" s="530" t="n"/>
      <c r="D65" s="532" t="n"/>
      <c r="E65" s="532" t="n"/>
      <c r="F65" s="532" t="n"/>
      <c r="G65" s="488" t="n"/>
      <c r="H65" s="488" t="n"/>
      <c r="I65" s="488" t="n"/>
      <c r="J65" s="488" t="n"/>
      <c r="K65" s="488" t="n"/>
      <c r="L65" s="488" t="n"/>
      <c r="M65" s="488" t="n"/>
      <c r="N65" s="488" t="n"/>
      <c r="O65" s="488" t="n"/>
      <c r="P65" s="488" t="n"/>
      <c r="Q65" s="488" t="n"/>
      <c r="R65" s="488" t="n"/>
      <c r="S65" s="488" t="n"/>
      <c r="T65" s="488" t="n"/>
      <c r="U65" s="488" t="n"/>
      <c r="V65" s="488" t="n"/>
      <c r="W65" s="488" t="n"/>
      <c r="X65" s="488" t="n"/>
      <c r="Y65" s="488" t="n"/>
      <c r="Z65" s="488" t="n"/>
    </row>
    <row r="66">
      <c r="A66" s="532" t="n"/>
      <c r="B66" s="530" t="n"/>
      <c r="C66" s="533" t="n"/>
      <c r="D66" s="532" t="n"/>
      <c r="E66" s="532" t="n"/>
      <c r="F66" s="532" t="n"/>
      <c r="G66" s="488" t="n"/>
      <c r="H66" s="488" t="n"/>
      <c r="I66" s="488" t="n"/>
      <c r="J66" s="488" t="n"/>
      <c r="K66" s="488" t="n"/>
      <c r="L66" s="488" t="n"/>
      <c r="M66" s="488" t="n"/>
      <c r="N66" s="488" t="n"/>
      <c r="O66" s="488" t="n"/>
      <c r="P66" s="488" t="n"/>
      <c r="Q66" s="488" t="n"/>
      <c r="R66" s="488" t="n"/>
      <c r="S66" s="488" t="n"/>
      <c r="T66" s="488" t="n"/>
      <c r="U66" s="488" t="n"/>
      <c r="V66" s="488" t="n"/>
      <c r="W66" s="488" t="n"/>
      <c r="X66" s="488" t="n"/>
      <c r="Y66" s="488" t="n"/>
      <c r="Z66" s="488" t="n"/>
    </row>
    <row r="67">
      <c r="A67" s="535" t="n"/>
      <c r="B67" s="535" t="n"/>
      <c r="C67" s="536" t="n"/>
      <c r="D67" s="535" t="n"/>
      <c r="E67" s="535" t="n"/>
      <c r="F67" s="535" t="n"/>
    </row>
    <row r="68">
      <c r="A68" s="535" t="n"/>
      <c r="B68" s="535" t="n"/>
      <c r="C68" s="536" t="n"/>
      <c r="D68" s="535" t="n"/>
      <c r="E68" s="535" t="n"/>
      <c r="F68" s="535" t="n"/>
    </row>
    <row r="69">
      <c r="A69" s="535" t="n"/>
      <c r="B69" s="535" t="n"/>
      <c r="C69" s="536" t="n"/>
      <c r="D69" s="535" t="n"/>
      <c r="E69" s="535" t="n"/>
      <c r="F69" s="535" t="n"/>
    </row>
    <row r="70">
      <c r="A70" s="535" t="n"/>
      <c r="B70" s="535" t="n"/>
      <c r="C70" s="536" t="n"/>
      <c r="D70" s="535" t="n"/>
      <c r="E70" s="535" t="n"/>
      <c r="F70" s="535" t="n"/>
    </row>
    <row r="71">
      <c r="A71" s="535" t="n"/>
      <c r="B71" s="535" t="n"/>
      <c r="C71" s="536" t="n"/>
      <c r="D71" s="535" t="n"/>
      <c r="E71" s="535" t="n"/>
      <c r="F71" s="535" t="n"/>
    </row>
    <row r="72">
      <c r="A72" s="402" t="n"/>
      <c r="B72" s="402" t="n"/>
      <c r="C72" s="402" t="n"/>
      <c r="D72" s="402" t="n"/>
      <c r="E72" s="402" t="n"/>
      <c r="F72" s="402" t="n"/>
    </row>
    <row r="73">
      <c r="A73" s="402" t="n"/>
      <c r="B73" s="402" t="n"/>
      <c r="C73" s="402" t="n"/>
      <c r="D73" s="402" t="n"/>
      <c r="E73" s="402" t="n"/>
      <c r="F73" s="402" t="n"/>
    </row>
    <row r="74">
      <c r="A74" s="537" t="n"/>
      <c r="B74" s="537" t="n"/>
      <c r="C74" s="537" t="n"/>
      <c r="D74" s="537" t="n"/>
      <c r="E74" s="537" t="n"/>
      <c r="F74" s="537" t="n"/>
    </row>
    <row r="75">
      <c r="A75" s="538" t="n"/>
      <c r="B75" s="538" t="n"/>
      <c r="C75" s="538" t="n"/>
      <c r="D75" s="539" t="n"/>
      <c r="E75" s="538" t="n"/>
      <c r="F75" s="538" t="n"/>
    </row>
    <row r="76">
      <c r="A76" s="6" t="n"/>
      <c r="B76" s="538" t="n"/>
      <c r="C76" s="538" t="n"/>
      <c r="D76" s="6" t="n"/>
      <c r="E76" s="6" t="n"/>
      <c r="F76" s="6" t="n"/>
    </row>
    <row r="77">
      <c r="A77" s="6" t="n"/>
      <c r="B77" s="538" t="n"/>
      <c r="C77" s="538" t="n"/>
      <c r="D77" s="6" t="n"/>
      <c r="E77" s="6" t="n"/>
      <c r="F77" s="6" t="n"/>
    </row>
    <row r="78">
      <c r="A78" s="6" t="n"/>
      <c r="B78" s="538" t="n"/>
      <c r="C78" s="538" t="n"/>
      <c r="D78" s="6" t="n"/>
      <c r="E78" s="6" t="n"/>
      <c r="F78" s="6" t="n"/>
    </row>
    <row r="79">
      <c r="A79" s="6" t="n"/>
      <c r="B79" s="538" t="n"/>
      <c r="C79" s="538" t="n"/>
      <c r="D79" s="6" t="n"/>
      <c r="E79" s="6" t="n"/>
      <c r="F79" s="6" t="n"/>
    </row>
    <row r="80">
      <c r="A80" s="537" t="n"/>
      <c r="B80" s="537" t="n"/>
      <c r="C80" s="537" t="n"/>
      <c r="D80" s="537" t="n"/>
      <c r="E80" s="537" t="n"/>
      <c r="F80" s="537" t="n"/>
    </row>
    <row r="81">
      <c r="A81" s="538" t="n"/>
      <c r="B81" s="538" t="n"/>
      <c r="C81" s="538" t="n"/>
      <c r="D81" s="539" t="n"/>
      <c r="E81" s="538" t="n"/>
      <c r="F81" s="538" t="n"/>
    </row>
    <row r="82">
      <c r="A82" s="6" t="n"/>
      <c r="B82" s="538" t="n"/>
      <c r="C82" s="538" t="n"/>
      <c r="D82" s="6" t="n"/>
      <c r="E82" s="6" t="n"/>
      <c r="F82" s="6" t="n"/>
    </row>
    <row r="83">
      <c r="A83" s="6" t="n"/>
      <c r="B83" s="538" t="n"/>
      <c r="C83" s="538" t="n"/>
      <c r="D83" s="6" t="n"/>
      <c r="E83" s="6" t="n"/>
      <c r="F83" s="6" t="n"/>
    </row>
    <row r="84">
      <c r="A84" s="6" t="n"/>
      <c r="B84" s="538" t="n"/>
      <c r="C84" s="538" t="n"/>
      <c r="D84" s="6" t="n"/>
      <c r="E84" s="6" t="n"/>
      <c r="F84" s="6" t="n"/>
    </row>
    <row r="85">
      <c r="A85" s="6" t="n"/>
      <c r="B85" s="538" t="n"/>
      <c r="C85" s="538" t="n"/>
      <c r="D85" s="6" t="n"/>
      <c r="E85" s="6" t="n"/>
      <c r="F85" s="6" t="n"/>
    </row>
    <row r="86">
      <c r="A86" s="537" t="n"/>
      <c r="B86" s="537" t="n"/>
      <c r="C86" s="537" t="n"/>
      <c r="D86" s="537" t="n"/>
      <c r="E86" s="537" t="n"/>
      <c r="F86" s="537" t="n"/>
    </row>
    <row r="87">
      <c r="A87" s="538" t="n"/>
      <c r="B87" s="538" t="n"/>
      <c r="C87" s="538" t="n"/>
      <c r="D87" s="539" t="n"/>
      <c r="E87" s="538" t="n"/>
      <c r="F87" s="538" t="n"/>
    </row>
    <row r="88">
      <c r="A88" s="6" t="n"/>
      <c r="B88" s="538" t="n"/>
      <c r="C88" s="538" t="n"/>
      <c r="D88" s="6" t="n"/>
      <c r="E88" s="6" t="n"/>
      <c r="F88" s="6" t="n"/>
    </row>
    <row r="89">
      <c r="A89" s="6" t="n"/>
      <c r="B89" s="538" t="n"/>
      <c r="C89" s="538" t="n"/>
      <c r="D89" s="6" t="n"/>
      <c r="E89" s="6" t="n"/>
      <c r="F89" s="6" t="n"/>
    </row>
    <row r="90">
      <c r="A90" s="6" t="n"/>
      <c r="B90" s="538" t="n"/>
      <c r="C90" s="538" t="n"/>
      <c r="D90" s="6" t="n"/>
      <c r="E90" s="6" t="n"/>
      <c r="F90" s="6" t="n"/>
    </row>
    <row r="91">
      <c r="A91" s="537" t="n"/>
      <c r="B91" s="537" t="n"/>
      <c r="C91" s="537" t="n"/>
      <c r="D91" s="537" t="n"/>
      <c r="E91" s="537" t="n"/>
      <c r="F91" s="537" t="n"/>
    </row>
    <row r="92">
      <c r="A92" s="538" t="n"/>
      <c r="B92" s="538" t="n"/>
      <c r="C92" s="538" t="n"/>
      <c r="D92" s="539" t="n"/>
      <c r="E92" s="538" t="n"/>
      <c r="F92" s="538" t="n"/>
    </row>
    <row r="93">
      <c r="A93" s="6" t="n"/>
      <c r="B93" s="538" t="n"/>
      <c r="C93" s="538" t="n"/>
      <c r="D93" s="6" t="n"/>
      <c r="E93" s="6" t="n"/>
      <c r="F93" s="6" t="n"/>
    </row>
    <row r="94">
      <c r="A94" s="6" t="n"/>
      <c r="B94" s="538" t="n"/>
      <c r="C94" s="538" t="n"/>
      <c r="D94" s="6" t="n"/>
      <c r="E94" s="6" t="n"/>
      <c r="F94" s="6" t="n"/>
    </row>
    <row r="95">
      <c r="A95" s="6" t="n"/>
      <c r="B95" s="538" t="n"/>
      <c r="C95" s="538" t="n"/>
      <c r="D95" s="6" t="n"/>
      <c r="E95" s="6" t="n"/>
      <c r="F95" s="6" t="n"/>
    </row>
    <row r="96">
      <c r="A96" s="6" t="n"/>
      <c r="B96" s="538" t="n"/>
      <c r="C96" s="458" t="n"/>
      <c r="D96" s="6" t="n"/>
      <c r="E96" s="6" t="n"/>
      <c r="F96" s="6" t="n"/>
    </row>
    <row r="97">
      <c r="A97" s="6" t="n"/>
      <c r="B97" s="538" t="n"/>
      <c r="C97" s="538" t="n"/>
      <c r="D97" s="6" t="n"/>
      <c r="E97" s="6" t="n"/>
      <c r="F97" s="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K4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57" customWidth="1" style="552" min="1" max="1"/>
    <col width="18.86" customWidth="1" style="552" min="2" max="2"/>
    <col width="15.86" customWidth="1" style="552" min="3" max="3"/>
    <col width="20.71" customWidth="1" style="552" min="4" max="4"/>
    <col width="16.86" customWidth="1" style="552" min="5" max="5"/>
    <col width="16.71" customWidth="1" style="552" min="6" max="6"/>
    <col width="18.57" customWidth="1" style="552" min="7" max="7"/>
    <col width="18" customWidth="1" style="552" min="8" max="8"/>
    <col width="17.71" customWidth="1" style="552" min="10" max="10"/>
  </cols>
  <sheetData>
    <row r="1" ht="16.5" customHeight="1" s="552">
      <c r="A1" s="449" t="inlineStr">
        <is>
          <t>Invasion Universe</t>
        </is>
      </c>
    </row>
    <row r="2">
      <c r="A2" s="450" t="inlineStr">
        <is>
          <t>Кофе зона</t>
        </is>
      </c>
      <c r="B2" s="450" t="inlineStr">
        <is>
          <t>Станция</t>
        </is>
      </c>
      <c r="C2" s="450" t="inlineStr">
        <is>
          <t>Разное</t>
        </is>
      </c>
      <c r="D2" s="450" t="inlineStr">
        <is>
          <t>Холодильники №1</t>
        </is>
      </c>
      <c r="E2" s="450" t="inlineStr">
        <is>
          <t>Холодильник №2</t>
        </is>
      </c>
      <c r="F2" s="450" t="inlineStr">
        <is>
          <t>Холодильник №3</t>
        </is>
      </c>
      <c r="G2" s="450" t="inlineStr">
        <is>
          <t>Морозилка</t>
        </is>
      </c>
      <c r="H2" s="450" t="inlineStr">
        <is>
          <t>Шкаф №1</t>
        </is>
      </c>
      <c r="I2" s="451" t="n"/>
      <c r="J2" s="451" t="n"/>
      <c r="K2" s="451" t="n"/>
    </row>
    <row r="3">
      <c r="A3" s="483" t="inlineStr">
        <is>
          <t>Чай в ассортименте</t>
        </is>
      </c>
      <c r="B3" s="483" t="inlineStr">
        <is>
          <t>Сироп малина</t>
        </is>
      </c>
      <c r="C3" s="483" t="inlineStr">
        <is>
          <t>Инвентарь</t>
        </is>
      </c>
      <c r="D3" s="483" t="n"/>
      <c r="E3" s="483" t="inlineStr">
        <is>
          <t>Пиво Schofferhofer</t>
        </is>
      </c>
      <c r="F3" s="453" t="inlineStr">
        <is>
          <t>Aqua Pana 0,3</t>
        </is>
      </c>
      <c r="G3" s="453" t="inlineStr">
        <is>
          <t>Мороженное</t>
        </is>
      </c>
      <c r="H3" s="453" t="inlineStr">
        <is>
          <t>Сок Pago/Rich</t>
        </is>
      </c>
      <c r="I3" s="423" t="n"/>
      <c r="J3" s="453" t="n"/>
    </row>
    <row r="4">
      <c r="A4" s="483" t="inlineStr">
        <is>
          <t>Кофе</t>
        </is>
      </c>
      <c r="B4" s="483" t="inlineStr">
        <is>
          <t>Сироп клубника</t>
        </is>
      </c>
      <c r="C4" s="483" t="inlineStr">
        <is>
          <t>Рэйл с алко</t>
        </is>
      </c>
      <c r="D4" s="483" t="inlineStr">
        <is>
          <t>Личи консервированный</t>
        </is>
      </c>
      <c r="E4" s="483" t="inlineStr">
        <is>
          <t>Пиво Lucky Buddha</t>
        </is>
      </c>
      <c r="F4" s="453" t="inlineStr">
        <is>
          <t>Sanpelligrino 0,3</t>
        </is>
      </c>
      <c r="G4" s="453" t="inlineStr">
        <is>
          <t>Клюква с/м</t>
        </is>
      </c>
      <c r="H4" s="453" t="inlineStr">
        <is>
          <t>Инвентарь</t>
        </is>
      </c>
      <c r="I4" s="423" t="n"/>
      <c r="J4" s="453" t="n"/>
    </row>
    <row r="5">
      <c r="A5" s="483" t="inlineStr">
        <is>
          <t>Анис</t>
        </is>
      </c>
      <c r="B5" s="483" t="inlineStr">
        <is>
          <t>Сироп маракуйя</t>
        </is>
      </c>
      <c r="C5" s="483" t="inlineStr">
        <is>
          <t>Кандурин</t>
        </is>
      </c>
      <c r="D5" s="483" t="inlineStr">
        <is>
          <t xml:space="preserve">Оливки </t>
        </is>
      </c>
      <c r="E5" s="483" t="inlineStr">
        <is>
          <t>Пиво Clausthaler б/а</t>
        </is>
      </c>
      <c r="F5" s="453" t="inlineStr">
        <is>
          <t>Tonic Rich 0,3</t>
        </is>
      </c>
      <c r="G5" s="453" t="n"/>
      <c r="H5" s="453" t="inlineStr">
        <is>
          <t>Молочная кислота 80%</t>
        </is>
      </c>
      <c r="I5" s="423" t="n"/>
      <c r="J5" s="453" t="n"/>
    </row>
    <row r="6">
      <c r="A6" s="483" t="inlineStr">
        <is>
          <t>Бадьян</t>
        </is>
      </c>
      <c r="B6" s="483" t="inlineStr">
        <is>
          <t>Сироп мандарин</t>
        </is>
      </c>
      <c r="C6" s="483" t="inlineStr">
        <is>
          <t>Краситель</t>
        </is>
      </c>
      <c r="D6" s="483" t="inlineStr">
        <is>
          <t>Вишня мапаскино</t>
        </is>
      </c>
      <c r="E6" s="483" t="inlineStr">
        <is>
          <t>Пиво Peroni</t>
        </is>
      </c>
      <c r="F6" s="453" t="inlineStr">
        <is>
          <t>Tonic Nunhci 0,3</t>
        </is>
      </c>
      <c r="G6" s="453" t="inlineStr">
        <is>
          <t>Клубника с/м</t>
        </is>
      </c>
      <c r="H6" s="457" t="inlineStr">
        <is>
          <t>Шкаф №2</t>
        </is>
      </c>
      <c r="I6" s="423" t="n"/>
    </row>
    <row r="7">
      <c r="A7" s="483" t="inlineStr">
        <is>
          <t>Гвоздика</t>
        </is>
      </c>
      <c r="B7" s="483" t="inlineStr">
        <is>
          <t>Сироп гренадин/малина</t>
        </is>
      </c>
      <c r="C7" s="483" t="inlineStr">
        <is>
          <t>Шпажки</t>
        </is>
      </c>
      <c r="D7" s="483" t="inlineStr">
        <is>
          <t>Малина свежая</t>
        </is>
      </c>
      <c r="E7" s="483" t="inlineStr">
        <is>
          <t>Пиво Guinness</t>
        </is>
      </c>
      <c r="F7" s="483" t="inlineStr">
        <is>
          <t>Сироп матча</t>
        </is>
      </c>
      <c r="G7" s="453" t="inlineStr">
        <is>
          <t>Лист лайма</t>
        </is>
      </c>
      <c r="H7" s="423" t="inlineStr">
        <is>
          <t>Орео</t>
        </is>
      </c>
      <c r="I7" s="423" t="n"/>
    </row>
    <row r="8">
      <c r="A8" s="483" t="inlineStr">
        <is>
          <t>Корица ( палочки )</t>
        </is>
      </c>
      <c r="B8" s="483" t="inlineStr">
        <is>
          <t>Сироп клюква/лаванда</t>
        </is>
      </c>
      <c r="C8" s="483" t="inlineStr">
        <is>
          <t>Трубочки</t>
        </is>
      </c>
      <c r="D8" s="483" t="inlineStr">
        <is>
          <t>Листья бамбука</t>
        </is>
      </c>
      <c r="E8" s="458" t="inlineStr">
        <is>
          <t>Fanky Monkey</t>
        </is>
      </c>
      <c r="F8" s="459" t="inlineStr">
        <is>
          <t>Вино:</t>
        </is>
      </c>
      <c r="G8" s="453" t="inlineStr">
        <is>
          <t>Водка</t>
        </is>
      </c>
      <c r="H8" s="423" t="inlineStr">
        <is>
          <t>Чокопай</t>
        </is>
      </c>
      <c r="I8" s="423" t="n"/>
    </row>
    <row r="9">
      <c r="A9" s="483" t="inlineStr">
        <is>
          <t>Арахис</t>
        </is>
      </c>
      <c r="B9" s="483" t="inlineStr">
        <is>
          <t>Сироп шалфей/жасмин</t>
        </is>
      </c>
      <c r="C9" s="483" t="inlineStr">
        <is>
          <t>Салфетки</t>
        </is>
      </c>
      <c r="D9" s="483" t="n"/>
      <c r="E9" s="458" t="inlineStr">
        <is>
          <t>Coca Cola</t>
        </is>
      </c>
      <c r="F9" s="460" t="inlineStr">
        <is>
          <t>Fantinel Pino Grigio</t>
        </is>
      </c>
      <c r="G9" s="453" t="inlineStr">
        <is>
          <t>Джин</t>
        </is>
      </c>
      <c r="H9" s="423" t="inlineStr">
        <is>
          <t>Маршмеллоу</t>
        </is>
      </c>
      <c r="I9" s="423" t="n"/>
    </row>
    <row r="10">
      <c r="A10" s="483" t="inlineStr">
        <is>
          <t>Имбирные цукаты</t>
        </is>
      </c>
      <c r="B10" s="483" t="inlineStr">
        <is>
          <t>Сироп м.улун</t>
        </is>
      </c>
      <c r="C10" s="483" t="inlineStr">
        <is>
          <t>Желе ( 3 вида )</t>
        </is>
      </c>
      <c r="D10" s="483" t="inlineStr">
        <is>
          <t>Мята ( бошки/листья )</t>
        </is>
      </c>
      <c r="E10" s="458" t="inlineStr">
        <is>
          <t>Coca Cola zero</t>
        </is>
      </c>
      <c r="F10" s="460" t="inlineStr">
        <is>
          <t>Kris Chardonnay</t>
        </is>
      </c>
      <c r="G10" s="453" t="inlineStr">
        <is>
          <t>Биттеры</t>
        </is>
      </c>
      <c r="H10" s="423" t="inlineStr">
        <is>
          <t>Сыпучка</t>
        </is>
      </c>
      <c r="I10" s="423" t="n"/>
    </row>
    <row r="11">
      <c r="A11" s="483" t="inlineStr">
        <is>
          <t>Банановые чипсы</t>
        </is>
      </c>
      <c r="B11" s="483" t="inlineStr">
        <is>
          <t>Сироп огурец</t>
        </is>
      </c>
      <c r="C11" s="483" t="inlineStr">
        <is>
          <t>Фруктовая корзина</t>
        </is>
      </c>
      <c r="D11" s="483" t="inlineStr">
        <is>
          <t>Базилик ( лист )</t>
        </is>
      </c>
      <c r="E11" s="458" t="inlineStr">
        <is>
          <t>Redbull</t>
        </is>
      </c>
      <c r="F11" s="460" t="inlineStr">
        <is>
          <t>Urban Riesling</t>
        </is>
      </c>
      <c r="G11" s="453" t="inlineStr">
        <is>
          <t>Настойки</t>
        </is>
      </c>
      <c r="H11" s="423" t="n"/>
      <c r="I11" s="423" t="n"/>
    </row>
    <row r="12">
      <c r="A12" s="483" t="inlineStr">
        <is>
          <t>Манго сушенный</t>
        </is>
      </c>
      <c r="B12" s="483" t="inlineStr">
        <is>
          <t>Сироп лемонграсс</t>
        </is>
      </c>
      <c r="C12" s="483" t="inlineStr">
        <is>
          <t>Железные подносы</t>
        </is>
      </c>
      <c r="D12" s="483" t="inlineStr">
        <is>
          <t>Розмарин ( веточки )</t>
        </is>
      </c>
      <c r="E12" s="458" t="inlineStr">
        <is>
          <t>Redbull zero</t>
        </is>
      </c>
      <c r="F12" s="460" t="inlineStr">
        <is>
          <t>The Ned Sauvignon</t>
        </is>
      </c>
      <c r="G12" s="453" t="inlineStr">
        <is>
          <t>Бехеровка</t>
        </is>
      </c>
      <c r="H12" s="423" t="inlineStr">
        <is>
          <t>Специи</t>
        </is>
      </c>
    </row>
    <row r="13">
      <c r="A13" s="483" t="inlineStr">
        <is>
          <t>Маршмеллоу ( м )</t>
        </is>
      </c>
      <c r="B13" s="483" t="inlineStr">
        <is>
          <t>Сироп сахар</t>
        </is>
      </c>
      <c r="C13" s="483" t="inlineStr">
        <is>
          <t>Топинг</t>
        </is>
      </c>
      <c r="D13" s="483" t="inlineStr">
        <is>
          <t>Взбитые сливки</t>
        </is>
      </c>
      <c r="E13" s="458" t="inlineStr">
        <is>
          <t>Redbull tropic</t>
        </is>
      </c>
      <c r="F13" s="462" t="inlineStr">
        <is>
          <t>Сок Pago/Rich</t>
        </is>
      </c>
      <c r="G13" s="453" t="n"/>
      <c r="H13" s="423" t="inlineStr">
        <is>
          <t>Биттеры</t>
        </is>
      </c>
    </row>
    <row r="14">
      <c r="A14" s="483" t="inlineStr">
        <is>
          <t>Маршмеллоу ( б )</t>
        </is>
      </c>
      <c r="B14" s="453" t="inlineStr">
        <is>
          <t>ПФ Молочная кислота</t>
        </is>
      </c>
      <c r="C14" s="483" t="inlineStr">
        <is>
          <t>Нутела</t>
        </is>
      </c>
      <c r="D14" s="483" t="inlineStr">
        <is>
          <t>Сливки 11%</t>
        </is>
      </c>
      <c r="E14" s="483" t="n"/>
      <c r="F14" s="462" t="inlineStr">
        <is>
          <t>Aqua Pana 0,75</t>
        </is>
      </c>
      <c r="G14" s="453" t="inlineStr">
        <is>
          <t>Колбы ( криптонит )</t>
        </is>
      </c>
      <c r="H14" s="423" t="inlineStr">
        <is>
          <t>Инвентарь</t>
        </is>
      </c>
    </row>
    <row r="15">
      <c r="A15" s="483" t="inlineStr">
        <is>
          <t>ПФ Ванильный сахар</t>
        </is>
      </c>
      <c r="B15" s="483" t="inlineStr">
        <is>
          <t>Просеко</t>
        </is>
      </c>
      <c r="C15" s="483" t="inlineStr">
        <is>
          <t>Черная соль</t>
        </is>
      </c>
      <c r="D15" s="483" t="inlineStr">
        <is>
          <t>Молоко 3,2%</t>
        </is>
      </c>
      <c r="E15" s="483" t="n"/>
      <c r="F15" s="462" t="inlineStr">
        <is>
          <t>Sanpelligrino 0,75</t>
        </is>
      </c>
      <c r="G15" s="453" t="inlineStr">
        <is>
          <t>Шоты</t>
        </is>
      </c>
      <c r="H15" s="423" t="inlineStr">
        <is>
          <t>Хозы</t>
        </is>
      </c>
    </row>
    <row r="16">
      <c r="A16" s="483" t="inlineStr">
        <is>
          <t>Мускатный орех</t>
        </is>
      </c>
      <c r="B16" s="458" t="inlineStr">
        <is>
          <t>Пюре малина</t>
        </is>
      </c>
      <c r="C16" s="483" t="inlineStr">
        <is>
          <t>Биттеры</t>
        </is>
      </c>
      <c r="D16" s="483" t="inlineStr">
        <is>
          <t>Молоко соевое</t>
        </is>
      </c>
      <c r="E16" s="483" t="n"/>
      <c r="F16" s="458" t="inlineStr">
        <is>
          <t>Сироп матча</t>
        </is>
      </c>
      <c r="G16" s="453" t="inlineStr">
        <is>
          <t>Глыба 5х6</t>
        </is>
      </c>
      <c r="H16" s="472" t="inlineStr">
        <is>
          <t>Агар</t>
        </is>
      </c>
    </row>
    <row r="17">
      <c r="A17" s="483" t="inlineStr">
        <is>
          <t>Шоколад ( капли )</t>
        </is>
      </c>
      <c r="B17" s="458" t="inlineStr">
        <is>
          <t>Пюре маракуйя</t>
        </is>
      </c>
      <c r="C17" s="483" t="inlineStr">
        <is>
          <t>Бабл дропс</t>
        </is>
      </c>
      <c r="D17" s="483" t="inlineStr">
        <is>
          <t>Молоко кокосовое</t>
        </is>
      </c>
      <c r="E17" s="483" t="n"/>
      <c r="F17" s="458" t="inlineStr">
        <is>
          <t>Сироп мёд</t>
        </is>
      </c>
      <c r="G17" s="453" t="inlineStr">
        <is>
          <t>Глыба 4х12</t>
        </is>
      </c>
      <c r="H17" s="453" t="inlineStr">
        <is>
          <t>Фруктоза</t>
        </is>
      </c>
    </row>
    <row r="18">
      <c r="A18" s="483" t="inlineStr">
        <is>
          <t>Шоколадная стружка</t>
        </is>
      </c>
      <c r="B18" s="458" t="inlineStr">
        <is>
          <t>Пюре ананас</t>
        </is>
      </c>
      <c r="C18" s="483" t="inlineStr">
        <is>
          <t>Тобаско</t>
        </is>
      </c>
      <c r="D18" s="483" t="inlineStr">
        <is>
          <t>молоко миндальное</t>
        </is>
      </c>
      <c r="E18" s="483" t="n"/>
      <c r="F18" s="460" t="inlineStr">
        <is>
          <t>Фреш имбирь</t>
        </is>
      </c>
      <c r="G18" s="453" t="n"/>
      <c r="H18" s="480" t="inlineStr">
        <is>
          <t>Шкаф №3</t>
        </is>
      </c>
    </row>
    <row r="19">
      <c r="A19" s="483" t="inlineStr">
        <is>
          <t>Мёд</t>
        </is>
      </c>
      <c r="B19" s="458" t="inlineStr">
        <is>
          <t>Пюре манго</t>
        </is>
      </c>
      <c r="C19" s="483" t="inlineStr">
        <is>
          <t>Ворчестер</t>
        </is>
      </c>
      <c r="D19" s="483" t="inlineStr">
        <is>
          <t>молоко банановое</t>
        </is>
      </c>
      <c r="E19" s="483" t="n"/>
      <c r="F19" s="453" t="n"/>
      <c r="H19" s="462" t="inlineStr">
        <is>
          <t>Сироп в ассортименте</t>
        </is>
      </c>
    </row>
    <row r="20">
      <c r="A20" s="483" t="inlineStr">
        <is>
          <t>Сироп шоколад</t>
        </is>
      </c>
      <c r="B20" s="458" t="inlineStr">
        <is>
          <t>Пюре мандарин</t>
        </is>
      </c>
      <c r="C20" s="483" t="inlineStr">
        <is>
          <t>Марки 90210</t>
        </is>
      </c>
      <c r="D20" s="483" t="n"/>
      <c r="E20" s="483" t="n"/>
      <c r="F20" s="483" t="n"/>
      <c r="H20" s="462" t="n"/>
    </row>
    <row r="21">
      <c r="A21" s="484" t="inlineStr">
        <is>
          <t>Сироп карамель</t>
        </is>
      </c>
      <c r="B21" s="458" t="inlineStr">
        <is>
          <t>Пюре юдзу</t>
        </is>
      </c>
      <c r="C21" s="483" t="n"/>
      <c r="D21" s="483" t="inlineStr">
        <is>
          <t>Сифон ( ББ )</t>
        </is>
      </c>
      <c r="E21" s="483" t="n"/>
      <c r="F21" s="483" t="n"/>
      <c r="H21" s="462" t="n"/>
    </row>
    <row r="22">
      <c r="A22" s="483" t="inlineStr">
        <is>
          <t>Сироп банан</t>
        </is>
      </c>
      <c r="B22" s="460" t="inlineStr">
        <is>
          <t>Фреш лимон</t>
        </is>
      </c>
      <c r="C22" s="483" t="inlineStr">
        <is>
          <t>Нити перца чилли</t>
        </is>
      </c>
      <c r="D22" s="483" t="inlineStr">
        <is>
          <t>Сифон ( Спранк )</t>
        </is>
      </c>
      <c r="E22" s="483" t="n"/>
      <c r="F22" s="423" t="n"/>
      <c r="H22" s="457" t="inlineStr">
        <is>
          <t>Шкаф №4</t>
        </is>
      </c>
    </row>
    <row r="23">
      <c r="A23" s="484" t="inlineStr">
        <is>
          <t>Какао</t>
        </is>
      </c>
      <c r="B23" s="462" t="inlineStr">
        <is>
          <t>ПФ Цитрус/бурбон</t>
        </is>
      </c>
      <c r="C23" s="483" t="inlineStr">
        <is>
          <t>Матча/сенча пудра</t>
        </is>
      </c>
      <c r="D23" s="483" t="inlineStr">
        <is>
          <t>Сифон ( Моджо )</t>
        </is>
      </c>
      <c r="E23" s="488" t="n"/>
      <c r="H23" s="453" t="inlineStr">
        <is>
          <t>Запас алкоголь</t>
        </is>
      </c>
    </row>
    <row r="24">
      <c r="A24" s="483" t="inlineStr">
        <is>
          <t>Сироп ваниль</t>
        </is>
      </c>
      <c r="B24" s="458" t="inlineStr">
        <is>
          <t>ПФ Черри/бурбон</t>
        </is>
      </c>
      <c r="C24" s="483" t="inlineStr">
        <is>
          <t>Сахарная пудра</t>
        </is>
      </c>
      <c r="D24" s="483" t="n"/>
      <c r="E24" s="488" t="n"/>
      <c r="H24" s="453" t="inlineStr">
        <is>
          <t>Красное вино</t>
        </is>
      </c>
    </row>
    <row r="25">
      <c r="A25" s="488" t="n"/>
      <c r="B25" s="458" t="inlineStr">
        <is>
          <t>ПФ Спайси/ром</t>
        </is>
      </c>
      <c r="C25" s="483" t="inlineStr">
        <is>
          <t>Корица</t>
        </is>
      </c>
      <c r="D25" s="483" t="n"/>
      <c r="E25" s="488" t="n"/>
    </row>
    <row r="26">
      <c r="A26" s="488" t="n"/>
      <c r="B26" s="458" t="inlineStr">
        <is>
          <t>ПФ Белуга/манго/лайм</t>
        </is>
      </c>
      <c r="C26" s="483" t="inlineStr">
        <is>
          <t>Стаканчики с собой</t>
        </is>
      </c>
      <c r="D26" s="483" t="n"/>
      <c r="E26" s="488" t="n"/>
    </row>
    <row r="27">
      <c r="A27" s="488" t="n"/>
      <c r="B27" s="458" t="inlineStr">
        <is>
          <t>ПФ Моджо</t>
        </is>
      </c>
      <c r="C27" s="483" t="inlineStr">
        <is>
          <t>Крышки</t>
        </is>
      </c>
      <c r="D27" s="483" t="n"/>
      <c r="E27" s="488" t="n"/>
    </row>
    <row r="28">
      <c r="A28" s="488" t="n"/>
      <c r="B28" s="458" t="inlineStr">
        <is>
          <t>ПФ Адам Уорлак</t>
        </is>
      </c>
      <c r="C28" s="488" t="n"/>
      <c r="D28" s="483" t="n"/>
      <c r="E28" s="488" t="n"/>
    </row>
    <row r="29">
      <c r="A29" s="488" t="n"/>
      <c r="B29" s="458" t="inlineStr">
        <is>
          <t>ПФ Тесла</t>
        </is>
      </c>
      <c r="C29" s="483" t="n"/>
      <c r="D29" s="483" t="n"/>
      <c r="E29" s="488" t="n"/>
    </row>
    <row r="30">
      <c r="B30" s="462" t="inlineStr">
        <is>
          <t>ПФ Бубл Гум</t>
        </is>
      </c>
      <c r="D30" s="423" t="n"/>
    </row>
    <row r="31">
      <c r="B31" s="462" t="inlineStr">
        <is>
          <t>ПФ Саке/Юдзу</t>
        </is>
      </c>
      <c r="D31" s="423" t="n"/>
      <c r="E31" s="483" t="n"/>
    </row>
    <row r="32">
      <c r="B32" s="483" t="n"/>
      <c r="D32" s="483" t="n"/>
      <c r="E32" s="483" t="n"/>
    </row>
    <row r="33">
      <c r="B33" s="453" t="n"/>
      <c r="D33" s="483" t="n"/>
      <c r="E33" s="483" t="n"/>
    </row>
    <row r="34">
      <c r="B34" s="453" t="n"/>
      <c r="D34" s="483" t="n"/>
      <c r="E34" s="483" t="n"/>
    </row>
    <row r="35">
      <c r="B35" s="453" t="n"/>
      <c r="D35" s="483" t="n"/>
      <c r="E35" s="483" t="n"/>
    </row>
    <row r="36">
      <c r="B36" s="453" t="n"/>
      <c r="D36" s="483" t="n"/>
      <c r="E36" s="483" t="n"/>
    </row>
    <row r="37">
      <c r="D37" s="483" t="n"/>
      <c r="E37" s="453" t="n"/>
    </row>
    <row r="38">
      <c r="D38" s="453" t="n"/>
      <c r="E38" s="453" t="n"/>
    </row>
    <row r="39">
      <c r="D39" s="453" t="n"/>
      <c r="E39" s="453" t="n"/>
    </row>
    <row r="40">
      <c r="D40" s="453" t="n"/>
      <c r="E40" s="453" t="n"/>
    </row>
    <row r="41">
      <c r="D41" s="453" t="n"/>
      <c r="E41" s="423" t="n"/>
    </row>
    <row r="42">
      <c r="D42" s="423" t="n"/>
      <c r="E42" s="423" t="n"/>
    </row>
    <row r="43">
      <c r="D43" s="423" t="n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52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552" min="1" max="1"/>
    <col width="15.86" customWidth="1" style="552" min="2" max="2"/>
    <col width="54.14" customWidth="1" style="552" min="3" max="3"/>
    <col width="12.57" customWidth="1" style="552" min="4" max="4"/>
    <col width="16.29" customWidth="1" style="552" min="5" max="5"/>
    <col width="52" customWidth="1" style="552" min="6" max="6"/>
  </cols>
  <sheetData>
    <row r="1">
      <c r="A1" s="577" t="inlineStr">
        <is>
          <t>Открытие:</t>
        </is>
      </c>
      <c r="B1" s="578" t="n"/>
      <c r="C1" s="579" t="n"/>
      <c r="D1" s="466" t="inlineStr">
        <is>
          <t>Закрытие:</t>
        </is>
      </c>
    </row>
    <row r="2">
      <c r="A2" s="467" t="inlineStr">
        <is>
          <t>№</t>
        </is>
      </c>
      <c r="B2" s="470" t="inlineStr">
        <is>
          <t>Название:</t>
        </is>
      </c>
      <c r="C2" s="469" t="inlineStr">
        <is>
          <t>Описание:</t>
        </is>
      </c>
      <c r="D2" s="470" t="inlineStr">
        <is>
          <t>№</t>
        </is>
      </c>
      <c r="E2" s="470" t="inlineStr">
        <is>
          <t>Название:</t>
        </is>
      </c>
      <c r="F2" s="470" t="inlineStr">
        <is>
          <t>Описание:</t>
        </is>
      </c>
    </row>
    <row r="3">
      <c r="A3" s="475" t="n">
        <v>1</v>
      </c>
      <c r="B3" s="476" t="inlineStr">
        <is>
          <t>Visual</t>
        </is>
      </c>
      <c r="C3" s="474" t="inlineStr">
        <is>
          <t>Чистая барная стойка</t>
        </is>
      </c>
      <c r="D3" s="475" t="n">
        <v>1</v>
      </c>
      <c r="E3" s="476" t="inlineStr">
        <is>
          <t>Visual</t>
        </is>
      </c>
      <c r="F3" s="474" t="inlineStr">
        <is>
          <t>Чистая барная стойка</t>
        </is>
      </c>
    </row>
    <row r="4">
      <c r="A4" s="492" t="n"/>
      <c r="B4" s="478" t="n"/>
      <c r="C4" s="512" t="inlineStr">
        <is>
          <t>Ровные стулья</t>
        </is>
      </c>
      <c r="D4" s="492" t="n"/>
      <c r="E4" s="478" t="n"/>
      <c r="F4" s="512" t="inlineStr">
        <is>
          <t>Ровные стулья</t>
        </is>
      </c>
    </row>
    <row r="5">
      <c r="A5" s="492" t="n"/>
      <c r="B5" s="478" t="n"/>
      <c r="C5" s="512" t="inlineStr">
        <is>
          <t>Красивая витрина</t>
        </is>
      </c>
      <c r="D5" s="492" t="n"/>
      <c r="E5" s="478" t="n"/>
      <c r="F5" s="512" t="inlineStr">
        <is>
          <t>Красивая витрина</t>
        </is>
      </c>
    </row>
    <row r="6">
      <c r="A6" s="492" t="n"/>
      <c r="B6" s="478" t="n"/>
      <c r="C6" s="512" t="inlineStr">
        <is>
          <t>Натёртый инвентарь</t>
        </is>
      </c>
      <c r="D6" s="481" t="n"/>
      <c r="E6" s="482" t="n"/>
      <c r="F6" s="407" t="inlineStr">
        <is>
          <t>Натёртый инвентарь</t>
        </is>
      </c>
    </row>
    <row r="7">
      <c r="A7" s="492" t="n"/>
      <c r="B7" s="478" t="n"/>
      <c r="C7" s="512" t="inlineStr">
        <is>
          <t>Заполненные трубочки</t>
        </is>
      </c>
      <c r="D7" s="478" t="n"/>
    </row>
    <row r="8">
      <c r="A8" s="481" t="n"/>
      <c r="B8" s="482" t="n"/>
      <c r="C8" s="407" t="inlineStr">
        <is>
          <t>Наличие гостевых салфеток</t>
        </is>
      </c>
    </row>
    <row r="9">
      <c r="A9" s="492" t="n"/>
      <c r="B9" s="478" t="n"/>
      <c r="C9" s="512" t="n"/>
    </row>
    <row r="10">
      <c r="A10" s="475" t="n">
        <v>2</v>
      </c>
      <c r="B10" s="486" t="inlineStr">
        <is>
          <t>Софт/Пиво</t>
        </is>
      </c>
      <c r="C10" s="474" t="inlineStr">
        <is>
          <t>Заполненные холодильники</t>
        </is>
      </c>
      <c r="D10" s="475" t="n">
        <v>2</v>
      </c>
      <c r="E10" s="486" t="inlineStr">
        <is>
          <t>Софт/Пиво</t>
        </is>
      </c>
      <c r="F10" s="487" t="inlineStr">
        <is>
          <t>Заполненные холодильники софт</t>
        </is>
      </c>
    </row>
    <row r="11">
      <c r="A11" s="481" t="n"/>
      <c r="B11" s="482" t="n"/>
      <c r="C11" s="407" t="inlineStr">
        <is>
          <t>Заполненные шкафы</t>
        </is>
      </c>
      <c r="D11" s="481" t="n"/>
      <c r="E11" s="482" t="n"/>
      <c r="F11" s="440" t="inlineStr">
        <is>
          <t>Заполненные шкафы софт</t>
        </is>
      </c>
    </row>
    <row r="12">
      <c r="A12" s="492" t="n"/>
      <c r="B12" s="478" t="n"/>
      <c r="C12" s="512" t="n"/>
      <c r="D12" s="478" t="n"/>
      <c r="E12" s="478" t="n"/>
      <c r="F12" s="10" t="n"/>
    </row>
    <row r="13">
      <c r="A13" s="475" t="n">
        <v>3</v>
      </c>
      <c r="B13" s="486" t="inlineStr">
        <is>
          <t>Станция</t>
        </is>
      </c>
      <c r="C13" s="489" t="inlineStr">
        <is>
          <t>Заполненный лед</t>
        </is>
      </c>
      <c r="D13" s="475" t="n">
        <v>3</v>
      </c>
      <c r="E13" s="486" t="inlineStr">
        <is>
          <t>Станция</t>
        </is>
      </c>
      <c r="F13" s="490" t="inlineStr">
        <is>
          <t>Сухой и натёртый инвентарь</t>
        </is>
      </c>
    </row>
    <row r="14">
      <c r="A14" s="492" t="n"/>
      <c r="B14" s="478" t="n"/>
      <c r="C14" s="10" t="inlineStr">
        <is>
          <t>Наличие пюре</t>
        </is>
      </c>
      <c r="D14" s="492" t="n"/>
      <c r="E14" s="478" t="n"/>
      <c r="F14" s="493" t="inlineStr">
        <is>
          <t>Пюре убираем в холодильник</t>
        </is>
      </c>
    </row>
    <row r="15">
      <c r="A15" s="492" t="n"/>
      <c r="B15" s="478" t="n"/>
      <c r="C15" s="10" t="inlineStr">
        <is>
          <t>Наличие заготовок</t>
        </is>
      </c>
      <c r="D15" s="492" t="n"/>
      <c r="E15" s="478" t="n"/>
      <c r="F15" s="493" t="inlineStr">
        <is>
          <t xml:space="preserve">Протёртый и сухой алкоголь House </t>
        </is>
      </c>
    </row>
    <row r="16">
      <c r="A16" s="492" t="n"/>
      <c r="B16" s="478" t="n"/>
      <c r="C16" s="74" t="inlineStr">
        <is>
          <t>Наличие алкоголь House</t>
        </is>
      </c>
      <c r="D16" s="492" t="n"/>
      <c r="E16" s="478" t="n"/>
      <c r="F16" s="493" t="inlineStr">
        <is>
          <t>Нарезки фруктов убираем в холодильник</t>
        </is>
      </c>
    </row>
    <row r="17">
      <c r="A17" s="492" t="n"/>
      <c r="B17" s="478" t="n"/>
      <c r="C17" s="10" t="inlineStr">
        <is>
          <t>Нарезки фруктов</t>
        </is>
      </c>
      <c r="D17" s="492" t="n"/>
      <c r="E17" s="478" t="n"/>
      <c r="F17" s="493" t="inlineStr">
        <is>
          <t>Замытая фрешница</t>
        </is>
      </c>
    </row>
    <row r="18">
      <c r="A18" s="492" t="n"/>
      <c r="B18" s="478" t="n"/>
      <c r="C18" s="10" t="inlineStr">
        <is>
          <t>Ягоды</t>
        </is>
      </c>
      <c r="D18" s="492" t="n"/>
      <c r="E18" s="478" t="n"/>
      <c r="F18" s="493" t="inlineStr">
        <is>
          <t>Заполненный лед ( глыбы )</t>
        </is>
      </c>
    </row>
    <row r="19">
      <c r="A19" s="492" t="n"/>
      <c r="B19" s="478" t="n"/>
      <c r="C19" s="10" t="inlineStr">
        <is>
          <t>Гарнировки</t>
        </is>
      </c>
      <c r="D19" s="492" t="n"/>
      <c r="E19" s="478" t="n"/>
      <c r="F19" s="494" t="n"/>
    </row>
    <row r="20">
      <c r="A20" s="481" t="n"/>
      <c r="B20" s="482" t="n"/>
      <c r="C20" s="495" t="inlineStr">
        <is>
          <t>Наличие содовой House</t>
        </is>
      </c>
      <c r="D20" s="481" t="n"/>
      <c r="E20" s="482" t="n"/>
      <c r="F20" s="440" t="n"/>
    </row>
    <row r="21">
      <c r="A21" s="492" t="n"/>
      <c r="B21" s="478" t="n"/>
      <c r="C21" s="512" t="n"/>
      <c r="D21" s="478" t="n"/>
      <c r="E21" s="478" t="n"/>
      <c r="F21" s="493" t="n"/>
    </row>
    <row r="22">
      <c r="A22" s="475" t="n">
        <v>4</v>
      </c>
      <c r="B22" s="486" t="inlineStr">
        <is>
          <t>Посуда</t>
        </is>
      </c>
      <c r="C22" s="474" t="inlineStr">
        <is>
          <t>Натёртая кофейная/чайная посуда</t>
        </is>
      </c>
      <c r="D22" s="475" t="n">
        <v>4</v>
      </c>
      <c r="E22" s="486" t="inlineStr">
        <is>
          <t>Посуда</t>
        </is>
      </c>
      <c r="F22" s="474" t="inlineStr">
        <is>
          <t>Натёртая кофейная/чайная посуда</t>
        </is>
      </c>
    </row>
    <row r="23">
      <c r="A23" s="492" t="n"/>
      <c r="B23" s="478" t="n"/>
      <c r="C23" s="512" t="inlineStr">
        <is>
          <t>Натёртая остальная посуда</t>
        </is>
      </c>
      <c r="D23" s="492" t="n"/>
      <c r="E23" s="478" t="n"/>
      <c r="F23" s="512" t="inlineStr">
        <is>
          <t>Натёртая остальная посуда</t>
        </is>
      </c>
    </row>
    <row r="24">
      <c r="A24" s="481" t="n"/>
      <c r="B24" s="482" t="n"/>
      <c r="C24" s="407" t="n"/>
      <c r="D24" s="481" t="n"/>
      <c r="E24" s="482" t="n"/>
      <c r="F24" s="407" t="n"/>
    </row>
    <row r="25">
      <c r="A25" s="492" t="n"/>
      <c r="B25" s="478" t="n"/>
      <c r="C25" s="512" t="n"/>
      <c r="D25" s="478" t="n"/>
      <c r="E25" s="478" t="n"/>
      <c r="F25" s="10" t="n"/>
    </row>
    <row r="26">
      <c r="A26" s="475" t="n">
        <v>5</v>
      </c>
      <c r="B26" s="486" t="inlineStr">
        <is>
          <t>Морозилка</t>
        </is>
      </c>
      <c r="C26" s="474" t="inlineStr">
        <is>
          <t>Наличие мороженого</t>
        </is>
      </c>
      <c r="D26" s="475" t="n">
        <v>5</v>
      </c>
      <c r="E26" s="486" t="inlineStr">
        <is>
          <t>Кофемашина</t>
        </is>
      </c>
      <c r="F26" s="487" t="inlineStr">
        <is>
          <t>Выключаем кофемашину на ночь</t>
        </is>
      </c>
    </row>
    <row r="27">
      <c r="A27" s="492" t="n"/>
      <c r="B27" s="478" t="n"/>
      <c r="C27" s="512" t="inlineStr">
        <is>
          <t>Наличие ягод с/м</t>
        </is>
      </c>
      <c r="D27" s="492" t="n"/>
      <c r="E27" s="478" t="n"/>
      <c r="F27" s="493" t="inlineStr">
        <is>
          <t>Насухо вытераем</t>
        </is>
      </c>
    </row>
    <row r="28">
      <c r="A28" s="481" t="n"/>
      <c r="B28" s="482" t="n"/>
      <c r="C28" s="407" t="inlineStr">
        <is>
          <t>Наличие льда ( сферы/глыба )</t>
        </is>
      </c>
      <c r="D28" s="492" t="n"/>
      <c r="E28" s="478" t="n"/>
      <c r="F28" s="493" t="inlineStr">
        <is>
          <t>Без разводов поверхность</t>
        </is>
      </c>
    </row>
    <row r="29">
      <c r="A29" s="492" t="n"/>
      <c r="B29" s="478" t="n"/>
      <c r="C29" s="512" t="n"/>
      <c r="D29" s="492" t="n"/>
      <c r="E29" s="478" t="n"/>
      <c r="F29" s="493" t="inlineStr">
        <is>
          <t>Без разводов железное основание</t>
        </is>
      </c>
    </row>
    <row r="30">
      <c r="A30" s="475" t="n">
        <v>6</v>
      </c>
      <c r="B30" s="486" t="inlineStr">
        <is>
          <t>Ништяки</t>
        </is>
      </c>
      <c r="C30" s="474" t="inlineStr">
        <is>
          <t>Заполненный шкаф со всеми печеньями,</t>
        </is>
      </c>
      <c r="D30" s="501" t="n"/>
      <c r="E30" s="502" t="n"/>
      <c r="F30" s="493" t="inlineStr">
        <is>
          <t>Помыть группу со средством</t>
        </is>
      </c>
    </row>
    <row r="31">
      <c r="A31" s="481" t="n"/>
      <c r="B31" s="482" t="n"/>
      <c r="C31" s="407" t="inlineStr">
        <is>
          <t>шоколадками, гарнировками, чипсами, прочее...</t>
        </is>
      </c>
      <c r="D31" s="481" t="n"/>
      <c r="E31" s="482" t="n"/>
      <c r="F31" s="440" t="inlineStr">
        <is>
          <t xml:space="preserve">Помыть холдер </t>
        </is>
      </c>
    </row>
    <row r="32">
      <c r="A32" s="492" t="n"/>
      <c r="B32" s="478" t="n"/>
      <c r="C32" s="512" t="n"/>
      <c r="D32" s="502" t="n"/>
      <c r="E32" s="502" t="n"/>
      <c r="F32" s="74" t="n"/>
    </row>
    <row r="33">
      <c r="A33" s="475" t="n">
        <v>7</v>
      </c>
      <c r="B33" s="486" t="inlineStr">
        <is>
          <t>Прочее</t>
        </is>
      </c>
      <c r="C33" s="489" t="inlineStr">
        <is>
          <t>Наточенные ножи</t>
        </is>
      </c>
      <c r="D33" s="475" t="n">
        <v>6</v>
      </c>
      <c r="E33" s="486" t="inlineStr">
        <is>
          <t>Поверхности</t>
        </is>
      </c>
      <c r="F33" s="487" t="inlineStr">
        <is>
          <t>Чистые и сухие поверхности в баре</t>
        </is>
      </c>
    </row>
    <row r="34">
      <c r="A34" s="492" t="n"/>
      <c r="B34" s="478" t="n"/>
      <c r="C34" s="10" t="inlineStr">
        <is>
          <t>Чистый и натёртый инвентарь</t>
        </is>
      </c>
      <c r="D34" s="501" t="n"/>
      <c r="E34" s="74" t="n"/>
      <c r="F34" s="493" t="inlineStr">
        <is>
          <t>Барную стойку протираем со спец. средством</t>
        </is>
      </c>
    </row>
    <row r="35">
      <c r="A35" s="492" t="n"/>
      <c r="B35" s="478" t="n"/>
      <c r="C35" s="10" t="inlineStr">
        <is>
          <t>Чистые Фрешница и Соковыжималка</t>
        </is>
      </c>
      <c r="D35" s="503" t="n"/>
      <c r="E35" s="74" t="n"/>
      <c r="F35" s="493" t="inlineStr">
        <is>
          <t>Натираем стулья  ( без разводов )</t>
        </is>
      </c>
    </row>
    <row r="36">
      <c r="A36" s="504" t="n"/>
      <c r="B36" s="10" t="n"/>
      <c r="C36" s="10" t="n"/>
      <c r="D36" s="505" t="n"/>
      <c r="E36" s="495" t="n"/>
      <c r="F36" s="407" t="n"/>
    </row>
    <row r="37">
      <c r="A37" s="507" t="n">
        <v>8</v>
      </c>
      <c r="B37" s="508" t="inlineStr">
        <is>
          <t>Инста-дринкс</t>
        </is>
      </c>
      <c r="C37" s="509" t="inlineStr">
        <is>
          <t>Все гаджеты заряжены</t>
        </is>
      </c>
      <c r="D37" s="511" t="inlineStr">
        <is>
          <t>Гаджеты на зарядке:</t>
        </is>
      </c>
      <c r="E37" s="578" t="n"/>
      <c r="F37" s="512" t="inlineStr">
        <is>
          <t>Зарядить подносы для шотов</t>
        </is>
      </c>
    </row>
    <row r="38">
      <c r="A38" s="514" t="n"/>
      <c r="C38" s="518" t="inlineStr">
        <is>
          <t>Посуда подготовлена</t>
        </is>
      </c>
      <c r="D38" s="516" t="n"/>
      <c r="F38" s="518" t="inlineStr">
        <is>
          <t>Поднос для шотов ( чистый/натёртый )</t>
        </is>
      </c>
    </row>
    <row r="39">
      <c r="A39" s="514" t="n"/>
      <c r="C39" s="518" t="inlineStr">
        <is>
          <t>Колбы ( криптонит ) в морозе</t>
        </is>
      </c>
      <c r="D39" s="514" t="n"/>
      <c r="F39" s="518" t="inlineStr">
        <is>
          <t>Бутлыка Nuka Cola + крышка  ( Nuca Cola )</t>
        </is>
      </c>
    </row>
    <row r="40">
      <c r="A40" s="514" t="n"/>
      <c r="C40" s="518" t="inlineStr">
        <is>
          <t>Подготовлены гарнировки ( мармелад )</t>
        </is>
      </c>
      <c r="D40" s="517" t="inlineStr">
        <is>
          <t>Наличие:</t>
        </is>
      </c>
      <c r="F40" s="518" t="inlineStr">
        <is>
          <t>Поднос для шотов ( чистый/натёртый )</t>
        </is>
      </c>
    </row>
    <row r="41">
      <c r="A41" s="514" t="n"/>
      <c r="C41" s="493" t="inlineStr">
        <is>
          <t>Подготовлены содовые в сифонах + запас!</t>
        </is>
      </c>
      <c r="D41" s="514" t="n"/>
      <c r="F41" s="518" t="inlineStr">
        <is>
          <t>Магнитная подставка ( Тесла )</t>
        </is>
      </c>
    </row>
    <row r="42">
      <c r="A42" s="514" t="n"/>
      <c r="C42" s="493" t="inlineStr">
        <is>
          <t>Подготовлены Бутылки для Nuka Cola</t>
        </is>
      </c>
      <c r="D42" s="514" t="n"/>
      <c r="F42" s="518" t="inlineStr">
        <is>
          <t>Содовые в сифонах (  BB/Sprunk )</t>
        </is>
      </c>
    </row>
    <row r="43">
      <c r="A43" s="514" t="n"/>
      <c r="C43" s="493" t="inlineStr">
        <is>
          <t>Натёртый поднос для шотов "Invasion/Mortal Combat"</t>
        </is>
      </c>
      <c r="D43" s="514" t="n"/>
      <c r="F43" s="518" t="inlineStr">
        <is>
          <t>Колбы + роксы + шоты в морозилке ( Криптонит )</t>
        </is>
      </c>
    </row>
    <row r="44">
      <c r="A44" s="514" t="n"/>
      <c r="C44" s="518" t="n"/>
      <c r="D44" s="514" t="n"/>
      <c r="F44" s="518" t="n"/>
    </row>
    <row r="45">
      <c r="A45" s="514" t="n"/>
      <c r="C45" s="518" t="n"/>
      <c r="D45" s="514" t="n"/>
      <c r="F45" s="518" t="n"/>
    </row>
    <row r="46">
      <c r="A46" s="514" t="n"/>
      <c r="C46" s="518" t="n"/>
      <c r="D46" s="514" t="n"/>
      <c r="F46" s="518" t="n"/>
    </row>
    <row r="47">
      <c r="A47" s="514" t="n"/>
      <c r="C47" s="518" t="n"/>
      <c r="D47" s="514" t="n"/>
      <c r="F47" s="518" t="n"/>
    </row>
    <row r="48">
      <c r="A48" s="514" t="n"/>
      <c r="C48" s="518" t="n"/>
      <c r="D48" s="514" t="n"/>
      <c r="F48" s="518" t="n"/>
    </row>
    <row r="49">
      <c r="A49" s="514" t="n"/>
      <c r="C49" s="518" t="n"/>
      <c r="D49" s="514" t="n"/>
      <c r="F49" s="518" t="n"/>
    </row>
    <row r="50">
      <c r="A50" s="514" t="n"/>
      <c r="C50" s="518" t="n"/>
      <c r="D50" s="514" t="n"/>
      <c r="F50" s="518" t="n"/>
    </row>
    <row r="51">
      <c r="A51" s="519" t="n"/>
      <c r="B51" s="520" t="n"/>
      <c r="C51" s="522" t="n"/>
      <c r="D51" s="519" t="n"/>
      <c r="E51" s="520" t="n"/>
      <c r="F51" s="522" t="n"/>
    </row>
    <row r="52">
      <c r="A52" s="580" t="inlineStr">
        <is>
          <t>Заказ по рынку/хозам озвучиваеться барменеджеру до 02:00 ( с учетом следующего дня )!</t>
        </is>
      </c>
      <c r="B52" s="557" t="n"/>
      <c r="C52" s="557" t="n"/>
      <c r="D52" s="557" t="n"/>
      <c r="E52" s="557" t="n"/>
      <c r="F52" s="558" t="n"/>
    </row>
  </sheetData>
  <mergeCells count="6">
    <mergeCell ref="A52:F52"/>
    <mergeCell ref="A1:C1"/>
    <mergeCell ref="D37:E37"/>
    <mergeCell ref="D40:E40"/>
    <mergeCell ref="D1:F1"/>
    <mergeCell ref="D7:F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F32"/>
  <sheetViews>
    <sheetView workbookViewId="0">
      <selection activeCell="A1" sqref="A1"/>
    </sheetView>
  </sheetViews>
  <sheetFormatPr baseColWidth="8" defaultColWidth="14.43" defaultRowHeight="15" customHeight="1"/>
  <sheetData>
    <row r="1">
      <c r="B1" s="540" t="inlineStr">
        <is>
          <t>Схема настройки кофе</t>
        </is>
      </c>
    </row>
    <row r="2"/>
    <row r="3"/>
    <row r="4">
      <c r="C4" s="541" t="inlineStr">
        <is>
          <t>Жидкий</t>
        </is>
      </c>
    </row>
    <row r="5">
      <c r="C5" s="518" t="n"/>
    </row>
    <row r="6">
      <c r="C6" s="542" t="inlineStr">
        <is>
          <t>1. Уменьшить время пролива</t>
        </is>
      </c>
      <c r="D6" s="543" t="inlineStr">
        <is>
          <t>2. Уменьшить помол</t>
        </is>
      </c>
    </row>
    <row r="7">
      <c r="C7" s="581" t="n"/>
    </row>
    <row r="8">
      <c r="C8" s="581" t="n"/>
    </row>
    <row r="9">
      <c r="C9" s="581" t="n"/>
    </row>
    <row r="10">
      <c r="C10" s="581" t="n"/>
    </row>
    <row r="11">
      <c r="C11" s="581" t="n"/>
    </row>
    <row r="12">
      <c r="C12" s="581" t="n"/>
    </row>
    <row r="13">
      <c r="A13" s="545" t="inlineStr">
        <is>
          <t>Горький</t>
        </is>
      </c>
      <c r="C13" s="581" t="n"/>
      <c r="F13" s="546" t="inlineStr">
        <is>
          <t>Кислый</t>
        </is>
      </c>
    </row>
    <row r="14">
      <c r="B14" s="582" t="inlineStr">
        <is>
          <t>Увеличить закладку</t>
        </is>
      </c>
      <c r="C14" s="558" t="n"/>
      <c r="D14" s="548" t="inlineStr">
        <is>
          <t xml:space="preserve">Уменьшить закладку </t>
        </is>
      </c>
      <c r="E14" s="557" t="n"/>
    </row>
    <row r="15">
      <c r="B15" s="364" t="n"/>
      <c r="C15" s="549" t="inlineStr">
        <is>
          <t>1. Увеличить время пролива</t>
        </is>
      </c>
      <c r="D15" s="550" t="inlineStr">
        <is>
          <t>2. Увеличить помол</t>
        </is>
      </c>
    </row>
    <row r="16">
      <c r="C16" s="581" t="n"/>
    </row>
    <row r="17">
      <c r="C17" s="581" t="n"/>
    </row>
    <row r="18">
      <c r="C18" s="581" t="n"/>
    </row>
    <row r="19">
      <c r="C19" s="581" t="n"/>
    </row>
    <row r="20">
      <c r="C20" s="581" t="n"/>
    </row>
    <row r="21">
      <c r="C21" s="581" t="n"/>
    </row>
    <row r="22">
      <c r="C22" s="581" t="n"/>
    </row>
    <row r="23">
      <c r="C23" s="581" t="n"/>
    </row>
    <row r="24">
      <c r="C24" s="581" t="n"/>
    </row>
    <row r="25">
      <c r="C25" s="541" t="inlineStr">
        <is>
          <t>Плотный (соль)</t>
        </is>
      </c>
    </row>
    <row r="26"/>
    <row r="27"/>
    <row r="28"/>
    <row r="29">
      <c r="A29" s="551" t="inlineStr">
        <is>
          <t>1. Начинаем настройку с закладкой в 16.0г</t>
        </is>
      </c>
    </row>
    <row r="30">
      <c r="A30" s="551" t="inlineStr">
        <is>
          <t>2. Время начала экстракции кофе 4.5-7 сек</t>
        </is>
      </c>
    </row>
    <row r="31">
      <c r="A31" s="551" t="inlineStr">
        <is>
          <t>3. Допустимая порция допио 31-34г</t>
        </is>
      </c>
    </row>
    <row r="32">
      <c r="A32" s="551" t="inlineStr">
        <is>
          <t>4. Допустимое время экстракции кофе 20-30 сек.</t>
        </is>
      </c>
    </row>
  </sheetData>
  <mergeCells count="11">
    <mergeCell ref="A13:A16"/>
    <mergeCell ref="B1:E1"/>
    <mergeCell ref="F13:F16"/>
    <mergeCell ref="C15:C24"/>
    <mergeCell ref="C25:D25"/>
    <mergeCell ref="D6:D13"/>
    <mergeCell ref="D14:E14"/>
    <mergeCell ref="B14:C14"/>
    <mergeCell ref="C6:C13"/>
    <mergeCell ref="D15:D2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2026-08-13T11:59:08Z</dcterms:created>
  <dcterms:modified xsi:type="dcterms:W3CDTF">2026-08-13T11:59:09Z</dcterms:modified>
</cp:coreProperties>
</file>